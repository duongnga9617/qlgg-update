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Tien ich\64 bit - 2.0\"/>
    </mc:Choice>
  </mc:AlternateContent>
  <bookViews>
    <workbookView xWindow="-120" yWindow="-120" windowWidth="20730" windowHeight="11160" tabRatio="920" firstSheet="2" activeTab="6"/>
  </bookViews>
  <sheets>
    <sheet name="Theo doi CPM" sheetId="37" state="hidden" r:id="rId1"/>
    <sheet name="ĐK" sheetId="35" state="hidden" r:id="rId2"/>
    <sheet name="TTCHUNG" sheetId="2" r:id="rId3"/>
    <sheet name="GN-DC" sheetId="66" r:id="rId4"/>
    <sheet name="BTGG-DC" sheetId="67" r:id="rId5"/>
    <sheet name="GN-TX" sheetId="68" r:id="rId6"/>
    <sheet name="BTGG-TX" sheetId="69" r:id="rId7"/>
  </sheets>
  <externalReferences>
    <externalReference r:id="rId8"/>
  </externalReferences>
  <definedNames>
    <definedName name="_xlnm.Print_Area" localSheetId="4">'BTGG-DC'!$A$1:$M$42</definedName>
    <definedName name="_xlnm.Print_Area" localSheetId="6">'BTGG-TX'!$A$1:$M$42</definedName>
    <definedName name="_xlnm.Print_Area" localSheetId="3">'GN-DC'!$A$1:$J$40</definedName>
    <definedName name="_xlnm.Print_Area" localSheetId="5">'GN-TX'!$A$1:$J$40</definedName>
    <definedName name="_xlnm.Print_Area" localSheetId="2">TTCHUNG!$A$1:$G$28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69" l="1"/>
  <c r="G7" i="67"/>
  <c r="C21" i="69" l="1"/>
  <c r="B19" i="69"/>
  <c r="A28" i="68"/>
  <c r="A23" i="68"/>
  <c r="I21" i="68"/>
  <c r="G21" i="68"/>
  <c r="A21" i="68"/>
  <c r="C21" i="67"/>
  <c r="B19" i="67"/>
  <c r="A28" i="66"/>
  <c r="A23" i="66"/>
  <c r="A21" i="66"/>
  <c r="A27" i="69" l="1"/>
  <c r="C26" i="69"/>
  <c r="F25" i="69"/>
  <c r="C24" i="69"/>
  <c r="E23" i="69"/>
  <c r="I22" i="69"/>
  <c r="B22" i="69"/>
  <c r="D20" i="69"/>
  <c r="L19" i="69"/>
  <c r="I19" i="69"/>
  <c r="A29" i="68"/>
  <c r="C26" i="68"/>
  <c r="A25" i="68"/>
  <c r="G24" i="68"/>
  <c r="B24" i="68"/>
  <c r="C22" i="68"/>
  <c r="I21" i="66"/>
  <c r="C13" i="66"/>
  <c r="B12" i="66"/>
  <c r="B11" i="66"/>
  <c r="C13" i="68"/>
  <c r="B12" i="68"/>
  <c r="B11" i="68"/>
  <c r="E38" i="68" s="1"/>
  <c r="A9" i="68"/>
  <c r="A8" i="68"/>
  <c r="H38" i="68"/>
  <c r="A27" i="67" l="1"/>
  <c r="A9" i="66"/>
  <c r="H38" i="66" l="1"/>
  <c r="E38" i="66"/>
  <c r="A25" i="66" l="1"/>
  <c r="F25" i="67"/>
  <c r="A29" i="66"/>
  <c r="A8" i="66"/>
  <c r="C24" i="67" l="1"/>
  <c r="E23" i="67"/>
  <c r="I22" i="67"/>
  <c r="B22" i="67"/>
  <c r="D20" i="67"/>
  <c r="I19" i="67"/>
  <c r="C26" i="66"/>
  <c r="G24" i="66"/>
  <c r="B24" i="66"/>
  <c r="C22" i="66"/>
  <c r="G21" i="66"/>
  <c r="C26" i="67"/>
  <c r="L19" i="67" l="1"/>
  <c r="D7" i="2" l="1"/>
  <c r="F4" i="2"/>
</calcChain>
</file>

<file path=xl/sharedStrings.xml><?xml version="1.0" encoding="utf-8"?>
<sst xmlns="http://schemas.openxmlformats.org/spreadsheetml/2006/main" count="198" uniqueCount="99">
  <si>
    <t>THÔNG TIN CHUNG</t>
  </si>
  <si>
    <t>Tên gọi khác:</t>
  </si>
  <si>
    <t>Quê quán:</t>
  </si>
  <si>
    <t>Nơi ĐKTT:</t>
  </si>
  <si>
    <t>Hành vi phạm tội:</t>
  </si>
  <si>
    <t>Dân tộc:</t>
  </si>
  <si>
    <t>Quốc tịch:</t>
  </si>
  <si>
    <t>Nghề nghiệp:</t>
  </si>
  <si>
    <t>Bị bắt ngày:</t>
  </si>
  <si>
    <t>Chức vụ:</t>
  </si>
  <si>
    <t>CỘNG HÒA XÃ HỘI CHỦ NGHĨA VIỆT NAM</t>
  </si>
  <si>
    <t>BIÊN BẢN</t>
  </si>
  <si>
    <t xml:space="preserve">Hành vi phạm tội: </t>
  </si>
  <si>
    <t xml:space="preserve">Họ và tên: </t>
  </si>
  <si>
    <t>Giới tính:</t>
  </si>
  <si>
    <t>Sinh ngày:</t>
  </si>
  <si>
    <t>Việt Nam.</t>
  </si>
  <si>
    <t>Đơn vị thụ lý vụ án:</t>
  </si>
  <si>
    <t>(Ký, ghi rõ họ tên)</t>
  </si>
  <si>
    <t>Án phạt:</t>
  </si>
  <si>
    <t>QUYẾT ĐỊNH</t>
  </si>
  <si>
    <t>CÔNG AN TỈNH QUẢNG NINH</t>
  </si>
  <si>
    <t>TRẠI TẠM GIAM</t>
  </si>
  <si>
    <t>STT</t>
  </si>
  <si>
    <t xml:space="preserve">Họ và tên </t>
  </si>
  <si>
    <t>Thứ 2</t>
  </si>
  <si>
    <t>Thứ 3</t>
  </si>
  <si>
    <t>Thứ 4</t>
  </si>
  <si>
    <t>Thứ 5</t>
  </si>
  <si>
    <t>Thứ 6</t>
  </si>
  <si>
    <t>Thứ 7</t>
  </si>
  <si>
    <t>CN</t>
  </si>
  <si>
    <t>Tổng</t>
  </si>
  <si>
    <t>Từ ngày ......../....../....... Đến ngày ....../......./.......</t>
  </si>
  <si>
    <t>Buồng số:</t>
  </si>
  <si>
    <t>BẢNG THEO DÕI TẠM GIỮ NHẬP MỚI</t>
  </si>
  <si>
    <t xml:space="preserve">Chuyển giam
ngày..../...../..... </t>
  </si>
  <si>
    <r>
      <t xml:space="preserve">Gia hạn tạm giữ lần 1
 </t>
    </r>
    <r>
      <rPr>
        <i/>
        <sz val="11"/>
        <color theme="1"/>
        <rFont val="Times New Roman"/>
        <family val="1"/>
      </rPr>
      <t>từ ..../...../..... đến...../..../.....</t>
    </r>
  </si>
  <si>
    <r>
      <t xml:space="preserve">Gia hạn tạm giữ lần 2
</t>
    </r>
    <r>
      <rPr>
        <i/>
        <sz val="11"/>
        <color theme="1"/>
        <rFont val="Times New Roman"/>
        <family val="1"/>
      </rPr>
      <t xml:space="preserve"> từ ..../...../..... đến...../..../....</t>
    </r>
    <r>
      <rPr>
        <sz val="13"/>
        <color theme="1"/>
        <rFont val="Times New Roman"/>
        <family val="1"/>
      </rPr>
      <t>.</t>
    </r>
  </si>
  <si>
    <r>
      <t xml:space="preserve">Quyết định 
Tạm giữ
</t>
    </r>
    <r>
      <rPr>
        <i/>
        <sz val="11"/>
        <color theme="1"/>
        <rFont val="Times New Roman"/>
        <family val="1"/>
      </rPr>
      <t xml:space="preserve"> từ ..../...../..... đến...../..../.....</t>
    </r>
  </si>
  <si>
    <t>CCCD</t>
  </si>
  <si>
    <t>Vào TTG ngày:</t>
  </si>
  <si>
    <t>Độc lập - Tự do - Hạnh phúc</t>
  </si>
  <si>
    <t>Độc lập - Tự­ do - Hạnh phúc</t>
  </si>
  <si>
    <t>Nơi nhận:</t>
  </si>
  <si>
    <t>Lao động tự do.</t>
  </si>
  <si>
    <r>
      <t>Giao nhận người bị tạm</t>
    </r>
    <r>
      <rPr>
        <sz val="14"/>
        <rFont val="Times New Roman"/>
        <family val="1"/>
      </rPr>
      <t xml:space="preserve"> </t>
    </r>
    <r>
      <rPr>
        <b/>
        <sz val="14"/>
        <rFont val="Times New Roman"/>
        <family val="1"/>
      </rPr>
      <t>giữ,tạm giam</t>
    </r>
  </si>
  <si>
    <t>.................................................................</t>
  </si>
  <si>
    <t>....................................................</t>
  </si>
  <si>
    <t>BÊN GIAO</t>
  </si>
  <si>
    <t>BÊN NHẬN</t>
  </si>
  <si>
    <t>(Ký, đóng dấu, ghi rõ họ tên)</t>
  </si>
  <si>
    <t>- Bên giao;</t>
  </si>
  <si>
    <t>- Bên nhận.</t>
  </si>
  <si>
    <t>Số:......../QĐ</t>
  </si>
  <si>
    <t>Bố trí giam giữ</t>
  </si>
  <si>
    <t>GIÁM THỊ TRẠI TẠM GIAM</t>
  </si>
  <si>
    <t>Sinh năm:</t>
  </si>
  <si>
    <r>
      <t>Vào Trại tạm giam</t>
    </r>
    <r>
      <rPr>
        <sz val="11"/>
        <rFont val="Times New Roman"/>
        <family val="1"/>
      </rPr>
      <t xml:space="preserve"> </t>
    </r>
    <r>
      <rPr>
        <sz val="14"/>
        <rFont val="Times New Roman"/>
        <family val="1"/>
      </rPr>
      <t>ngày:</t>
    </r>
  </si>
  <si>
    <t>Tiền án: 0</t>
  </si>
  <si>
    <t>Tiền sự: 0</t>
  </si>
  <si>
    <t xml:space="preserve">Án phạt: </t>
  </si>
  <si>
    <r>
      <t xml:space="preserve">   </t>
    </r>
    <r>
      <rPr>
        <b/>
        <sz val="14"/>
        <rFont val="Times New Roman"/>
        <family val="1"/>
      </rPr>
      <t xml:space="preserve">  Điều 2.</t>
    </r>
    <r>
      <rPr>
        <sz val="14"/>
        <rFont val="Times New Roman"/>
        <family val="1"/>
      </rPr>
      <t xml:space="preserve"> Quyết định này có hiệu lực kể từ ngày ký, đồng chí Tổ trưởng tổ quản giáo A............ và người có tên tại Điều 1 chịu trách nhiệm thi hành Quyết định này./.</t>
    </r>
  </si>
  <si>
    <t>................................................................................</t>
  </si>
  <si>
    <t>(Ký đóng dấu, ghi rõ họ tên)</t>
  </si>
  <si>
    <t>- Lưu hồ sơ người bị TG,TG;</t>
  </si>
  <si>
    <t>CAT Quảng Ninh.</t>
  </si>
  <si>
    <t xml:space="preserve">         Căn cứ Điều 13 Luật thi hành tạm giữ, tạm giam quy định nhiệm vụ, quyền hạn, của nhà tạm giữ, trại tạm giam;</t>
  </si>
  <si>
    <t xml:space="preserve">         Căn cứ Điều 18 Luật thi hành tạm giữ, tạm giam quy định phân loại quản lý người bị tạm giữ, người bị tạm giam;</t>
  </si>
  <si>
    <t xml:space="preserve">         Xét báo cáo đề xuất của Đội quản giáo - Trại tạm giam.</t>
  </si>
  <si>
    <t xml:space="preserve">         Bên giao:</t>
  </si>
  <si>
    <t xml:space="preserve">   Đồng chí: </t>
  </si>
  <si>
    <t xml:space="preserve">   Cấp bậc: </t>
  </si>
  <si>
    <t xml:space="preserve">   Đơn vị công tác: </t>
  </si>
  <si>
    <t xml:space="preserve">   CM CAND số ......................... Cấp ngày ....../....../....... Đơn vị cấp:.....................................</t>
  </si>
  <si>
    <t xml:space="preserve">        Bên nhận:</t>
  </si>
  <si>
    <t xml:space="preserve">   Họ và tên: </t>
  </si>
  <si>
    <t xml:space="preserve">        Tiến hành lập biên bản giao nhận người bị tạm giữ/giam có lai lịch như sau:</t>
  </si>
  <si>
    <t xml:space="preserve">   Tên gọi khác:</t>
  </si>
  <si>
    <t xml:space="preserve">   Dân tộc:</t>
  </si>
  <si>
    <t xml:space="preserve">   Bị bắt ngày:</t>
  </si>
  <si>
    <r>
      <t xml:space="preserve">       Trường hợp giao, nhận</t>
    </r>
    <r>
      <rPr>
        <sz val="10"/>
        <rFont val="Times New Roman"/>
        <family val="1"/>
      </rPr>
      <t xml:space="preserve">: </t>
    </r>
    <r>
      <rPr>
        <sz val="14"/>
        <rFont val="Times New Roman"/>
        <family val="1"/>
      </rPr>
      <t xml:space="preserve"> Đưa vào Trại tạm giam.</t>
    </r>
  </si>
  <si>
    <t>- Như Điều 2;                để</t>
  </si>
  <si>
    <t>- Cán bộ đề xuất;     thực hiện</t>
  </si>
  <si>
    <t>Lệnh trích xuất số</t>
  </si>
  <si>
    <t xml:space="preserve">Ngày </t>
  </si>
  <si>
    <t>CQ</t>
  </si>
  <si>
    <t>..................................................................................................................................</t>
  </si>
  <si>
    <r>
      <t xml:space="preserve">        Điều 1. </t>
    </r>
    <r>
      <rPr>
        <sz val="14"/>
        <rFont val="Times New Roman"/>
        <family val="1"/>
      </rPr>
      <t>Bố trí giam giữ tại buồng số: .................; nhà................. Khu A.............. đối với người bị tạm giam có lai lịch sau:</t>
    </r>
  </si>
  <si>
    <t>Cán bộ</t>
  </si>
  <si>
    <t>ĐINH VĂN HÙNG</t>
  </si>
  <si>
    <t>Lập Lễ, Thủy Nguyên, Hải Phòng.</t>
  </si>
  <si>
    <t>Tình trạng sức khoẻ: Theo phiếu khám sức khỏe.</t>
  </si>
  <si>
    <t>Cán bộ.</t>
  </si>
  <si>
    <t>Cán bộ PC10 giao</t>
  </si>
  <si>
    <t>Cấp bậc</t>
  </si>
  <si>
    <t>Đơn vị công tác</t>
  </si>
  <si>
    <t>Phòng PC11, CAT Quảng Ninh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</si>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</sst>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rgb="FFFF0000"/>
      <name val="Times New Roman"/>
      <family val="1"/>
    </font>
    <font>
      <b/>
      <sz val="13"/>
      <color theme="1"/>
      <name val="Times New Roman"/>
      <family val="1"/>
    </font>
    <font>
      <sz val="8"/>
      <name val="Calibri"/>
      <family val="2"/>
      <scheme val="minor"/>
    </font>
    <font>
      <sz val="13"/>
      <color theme="1"/>
      <name val="Times New Roman"/>
      <family val="1"/>
    </font>
    <font>
      <sz val="13.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3"/>
      <color rgb="FF0000CC"/>
      <name val="Times New Roman"/>
      <family val="1"/>
    </font>
    <font>
      <sz val="13"/>
      <color rgb="FF0000CC"/>
      <name val="Times New Roman"/>
      <family val="1"/>
    </font>
    <font>
      <b/>
      <sz val="13"/>
      <color rgb="FFFF0000"/>
      <name val="Times New Roman"/>
      <family val="1"/>
    </font>
    <font>
      <sz val="13"/>
      <color rgb="FFFF0000"/>
      <name val="Times New Roman"/>
      <family val="1"/>
    </font>
    <font>
      <b/>
      <sz val="14"/>
      <name val="Times New Roman"/>
      <family val="1"/>
    </font>
    <font>
      <sz val="11"/>
      <name val="Calibri"/>
      <family val="2"/>
      <scheme val="minor"/>
    </font>
    <font>
      <sz val="14"/>
      <name val="Times New Roman"/>
      <family val="1"/>
    </font>
    <font>
      <b/>
      <sz val="13"/>
      <name val="Times New Roman"/>
      <family val="1"/>
    </font>
    <font>
      <sz val="10"/>
      <name val="Times New Roman"/>
      <family val="1"/>
    </font>
    <font>
      <sz val="13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0"/>
      <name val="Times New Roman"/>
      <family val="1"/>
    </font>
    <font>
      <sz val="11"/>
      <name val="Times New Roman"/>
      <family val="1"/>
    </font>
    <font>
      <b/>
      <i/>
      <sz val="14"/>
      <name val="Times New Roman"/>
      <family val="1"/>
    </font>
    <font>
      <b/>
      <sz val="13.5"/>
      <name val="Times New Roman"/>
      <family val="1"/>
    </font>
    <font>
      <b/>
      <sz val="11"/>
      <color rgb="FFFF0000"/>
      <name val="Times New Roman"/>
      <family val="1"/>
    </font>
    <font>
      <i/>
      <sz val="13"/>
      <color theme="1"/>
      <name val="Times New Roman"/>
      <family val="1"/>
    </font>
    <font>
      <i/>
      <sz val="11"/>
      <color theme="1"/>
      <name val="Times New Roman"/>
      <family val="1"/>
    </font>
    <font>
      <sz val="13.5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sz val="14"/>
      <color theme="0"/>
      <name val="Times New Roman"/>
      <family val="1"/>
    </font>
    <font>
      <b/>
      <i/>
      <sz val="13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1" fillId="0" borderId="4" xfId="0" applyFont="1" applyBorder="1"/>
    <xf numFmtId="0" fontId="4" fillId="0" borderId="4" xfId="0" applyFont="1" applyBorder="1"/>
    <xf numFmtId="0" fontId="8" fillId="0" borderId="4" xfId="0" applyFont="1" applyBorder="1"/>
    <xf numFmtId="0" fontId="7" fillId="2" borderId="5" xfId="0" applyFont="1" applyFill="1" applyBorder="1"/>
    <xf numFmtId="0" fontId="5" fillId="2" borderId="0" xfId="0" applyFont="1" applyFill="1"/>
    <xf numFmtId="0" fontId="5" fillId="2" borderId="2" xfId="0" applyFont="1" applyFill="1" applyBorder="1" applyAlignment="1">
      <alignment vertical="center" wrapText="1"/>
    </xf>
    <xf numFmtId="0" fontId="7" fillId="0" borderId="0" xfId="0" applyFont="1"/>
    <xf numFmtId="0" fontId="7" fillId="0" borderId="5" xfId="0" applyFont="1" applyBorder="1"/>
    <xf numFmtId="0" fontId="7" fillId="0" borderId="3" xfId="0" applyFont="1" applyBorder="1"/>
    <xf numFmtId="0" fontId="5" fillId="0" borderId="3" xfId="0" applyFont="1" applyBorder="1"/>
    <xf numFmtId="0" fontId="7" fillId="0" borderId="4" xfId="0" applyFont="1" applyBorder="1"/>
    <xf numFmtId="0" fontId="7" fillId="0" borderId="4" xfId="0" applyFont="1" applyBorder="1" applyAlignment="1">
      <alignment horizontal="right"/>
    </xf>
    <xf numFmtId="0" fontId="11" fillId="0" borderId="4" xfId="0" applyFont="1" applyBorder="1"/>
    <xf numFmtId="0" fontId="5" fillId="4" borderId="4" xfId="0" applyFont="1" applyFill="1" applyBorder="1"/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justify" vertical="center"/>
    </xf>
    <xf numFmtId="0" fontId="16" fillId="0" borderId="0" xfId="0" applyFont="1"/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8" fillId="0" borderId="0" xfId="0" quotePrefix="1" applyFont="1" applyAlignment="1">
      <alignment vertical="center"/>
    </xf>
    <xf numFmtId="0" fontId="16" fillId="0" borderId="0" xfId="0" applyFont="1" applyAlignment="1">
      <alignment horizontal="right"/>
    </xf>
    <xf numFmtId="0" fontId="24" fillId="0" borderId="0" xfId="0" applyFont="1"/>
    <xf numFmtId="0" fontId="12" fillId="0" borderId="3" xfId="0" applyFont="1" applyBorder="1"/>
    <xf numFmtId="0" fontId="26" fillId="0" borderId="3" xfId="0" applyFont="1" applyBorder="1"/>
    <xf numFmtId="0" fontId="13" fillId="0" borderId="3" xfId="0" applyFont="1" applyBorder="1"/>
    <xf numFmtId="0" fontId="16" fillId="0" borderId="0" xfId="0" applyFont="1" applyAlignment="1">
      <alignment vertical="center"/>
    </xf>
    <xf numFmtId="0" fontId="5" fillId="5" borderId="4" xfId="0" applyFont="1" applyFill="1" applyBorder="1"/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4" fillId="0" borderId="0" xfId="0" applyFont="1" applyAlignment="1">
      <alignment vertical="center"/>
    </xf>
    <xf numFmtId="0" fontId="29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5" fillId="5" borderId="3" xfId="0" applyFont="1" applyFill="1" applyBorder="1"/>
    <xf numFmtId="0" fontId="11" fillId="6" borderId="4" xfId="0" applyFont="1" applyFill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25" fillId="0" borderId="0" xfId="0" applyFont="1"/>
    <xf numFmtId="0" fontId="3" fillId="0" borderId="4" xfId="0" applyFont="1" applyBorder="1"/>
    <xf numFmtId="0" fontId="19" fillId="0" borderId="0" xfId="0" applyFont="1"/>
    <xf numFmtId="0" fontId="33" fillId="2" borderId="2" xfId="0" applyFont="1" applyFill="1" applyBorder="1" applyAlignment="1">
      <alignment vertical="center" wrapText="1"/>
    </xf>
    <xf numFmtId="0" fontId="34" fillId="0" borderId="3" xfId="0" applyFont="1" applyBorder="1"/>
    <xf numFmtId="14" fontId="16" fillId="0" borderId="0" xfId="0" applyNumberFormat="1" applyFont="1"/>
    <xf numFmtId="0" fontId="7" fillId="0" borderId="4" xfId="0" quotePrefix="1" applyFont="1" applyBorder="1"/>
    <xf numFmtId="0" fontId="13" fillId="0" borderId="4" xfId="0" applyFont="1" applyBorder="1"/>
    <xf numFmtId="0" fontId="35" fillId="0" borderId="0" xfId="0" applyFont="1" applyAlignment="1">
      <alignment vertical="center"/>
    </xf>
    <xf numFmtId="0" fontId="22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3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4" fillId="0" borderId="0" xfId="0" applyFont="1" applyAlignment="1">
      <alignment horizontal="center" wrapText="1"/>
    </xf>
    <xf numFmtId="14" fontId="10" fillId="0" borderId="4" xfId="0" applyNumberFormat="1" applyFont="1" applyBorder="1"/>
    <xf numFmtId="0" fontId="27" fillId="3" borderId="11" xfId="0" applyFont="1" applyFill="1" applyBorder="1" applyAlignment="1">
      <alignment horizontal="center"/>
    </xf>
    <xf numFmtId="0" fontId="27" fillId="3" borderId="1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13" fillId="3" borderId="14" xfId="0" applyFont="1" applyFill="1" applyBorder="1"/>
    <xf numFmtId="0" fontId="1" fillId="0" borderId="14" xfId="0" applyFont="1" applyBorder="1"/>
    <xf numFmtId="49" fontId="13" fillId="5" borderId="3" xfId="0" applyNumberFormat="1" applyFont="1" applyFill="1" applyBorder="1" applyAlignment="1">
      <alignment horizontal="center" vertical="center"/>
    </xf>
    <xf numFmtId="49" fontId="13" fillId="5" borderId="3" xfId="0" applyNumberFormat="1" applyFont="1" applyFill="1" applyBorder="1" applyAlignment="1">
      <alignment horizontal="center" vertical="center" wrapText="1"/>
    </xf>
    <xf numFmtId="49" fontId="13" fillId="5" borderId="3" xfId="0" applyNumberFormat="1" applyFont="1" applyFill="1" applyBorder="1" applyAlignment="1">
      <alignment vertical="center"/>
    </xf>
    <xf numFmtId="49" fontId="11" fillId="0" borderId="4" xfId="0" applyNumberFormat="1" applyFont="1" applyBorder="1"/>
    <xf numFmtId="0" fontId="24" fillId="0" borderId="0" xfId="0" applyFont="1" applyAlignment="1"/>
    <xf numFmtId="0" fontId="14" fillId="0" borderId="0" xfId="0" applyFont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/>
    </xf>
    <xf numFmtId="49" fontId="13" fillId="7" borderId="3" xfId="0" applyNumberFormat="1" applyFont="1" applyFill="1" applyBorder="1" applyAlignment="1">
      <alignment horizontal="center" vertical="center"/>
    </xf>
    <xf numFmtId="49" fontId="13" fillId="7" borderId="3" xfId="0" applyNumberFormat="1" applyFont="1" applyFill="1" applyBorder="1" applyAlignment="1">
      <alignment horizontal="center" vertical="center" wrapText="1"/>
    </xf>
    <xf numFmtId="0" fontId="7" fillId="7" borderId="4" xfId="0" quotePrefix="1" applyFont="1" applyFill="1" applyBorder="1"/>
    <xf numFmtId="0" fontId="11" fillId="7" borderId="4" xfId="0" applyFont="1" applyFill="1" applyBorder="1"/>
    <xf numFmtId="0" fontId="5" fillId="0" borderId="0" xfId="0" applyFont="1" applyBorder="1"/>
    <xf numFmtId="49" fontId="13" fillId="0" borderId="4" xfId="0" applyNumberFormat="1" applyFont="1" applyBorder="1"/>
    <xf numFmtId="0" fontId="16" fillId="0" borderId="0" xfId="0" applyFont="1" applyAlignment="1">
      <alignment horizontal="justify"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38" fillId="0" borderId="0" xfId="0" applyFont="1"/>
    <xf numFmtId="49" fontId="16" fillId="0" borderId="0" xfId="0" applyNumberFormat="1" applyFont="1"/>
    <xf numFmtId="0" fontId="4" fillId="0" borderId="4" xfId="0" applyFont="1" applyBorder="1" applyAlignment="1">
      <alignment vertical="center" wrapText="1"/>
    </xf>
    <xf numFmtId="0" fontId="16" fillId="0" borderId="0" xfId="0" applyNumberFormat="1" applyFont="1"/>
    <xf numFmtId="0" fontId="3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3" borderId="0" xfId="0" applyFont="1" applyFill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 indent="1"/>
    </xf>
    <xf numFmtId="0" fontId="16" fillId="0" borderId="0" xfId="0" applyFont="1" applyAlignment="1">
      <alignment horizontal="justify"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9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30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14" fontId="16" fillId="0" borderId="0" xfId="0" applyNumberFormat="1" applyFont="1" applyAlignment="1">
      <alignment horizontal="left"/>
    </xf>
    <xf numFmtId="14" fontId="16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9" fillId="0" borderId="0" xfId="0" applyFont="1" applyAlignment="1">
      <alignment horizontal="left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49" fontId="16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8CBAD"/>
      <color rgb="FF0000CC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1.LAPHS!A1"/><Relationship Id="rId2" Type="http://schemas.openxmlformats.org/officeDocument/2006/relationships/hyperlink" Target="#'5.NX1'!A1"/><Relationship Id="rId1" Type="http://schemas.openxmlformats.org/officeDocument/2006/relationships/hyperlink" Target="#TTCHUNG!A1"/><Relationship Id="rId5" Type="http://schemas.openxmlformats.org/officeDocument/2006/relationships/hyperlink" Target="#'PC22'!A1"/><Relationship Id="rId4" Type="http://schemas.openxmlformats.org/officeDocument/2006/relationships/hyperlink" Target="#TONGDAT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66675</xdr:rowOff>
    </xdr:from>
    <xdr:to>
      <xdr:col>9</xdr:col>
      <xdr:colOff>161925</xdr:colOff>
      <xdr:row>4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133350</xdr:colOff>
      <xdr:row>13</xdr:row>
      <xdr:rowOff>66675</xdr:rowOff>
    </xdr:from>
    <xdr:to>
      <xdr:col>9</xdr:col>
      <xdr:colOff>171450</xdr:colOff>
      <xdr:row>14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323850</xdr:colOff>
      <xdr:row>3</xdr:row>
      <xdr:rowOff>76200</xdr:rowOff>
    </xdr:from>
    <xdr:to>
      <xdr:col>11</xdr:col>
      <xdr:colOff>361950</xdr:colOff>
      <xdr:row>4</xdr:row>
      <xdr:rowOff>133350</xdr:rowOff>
    </xdr:to>
    <xdr:sp macro="" textlink="">
      <xdr:nvSpPr>
        <xdr:cNvPr id="21" name="Rectangle: Rounded Corner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333375</xdr:colOff>
      <xdr:row>7</xdr:row>
      <xdr:rowOff>57150</xdr:rowOff>
    </xdr:from>
    <xdr:to>
      <xdr:col>11</xdr:col>
      <xdr:colOff>371475</xdr:colOff>
      <xdr:row>8</xdr:row>
      <xdr:rowOff>114300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342900</xdr:colOff>
      <xdr:row>15</xdr:row>
      <xdr:rowOff>76200</xdr:rowOff>
    </xdr:from>
    <xdr:to>
      <xdr:col>11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4847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38100</xdr:rowOff>
    </xdr:from>
    <xdr:to>
      <xdr:col>13</xdr:col>
      <xdr:colOff>47625</xdr:colOff>
      <xdr:row>4</xdr:row>
      <xdr:rowOff>114300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58000" y="704850"/>
          <a:ext cx="1257300" cy="209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9525</xdr:rowOff>
    </xdr:from>
    <xdr:to>
      <xdr:col>13</xdr:col>
      <xdr:colOff>57150</xdr:colOff>
      <xdr:row>6</xdr:row>
      <xdr:rowOff>38100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67525" y="10477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190500</xdr:rowOff>
    </xdr:from>
    <xdr:to>
      <xdr:col>13</xdr:col>
      <xdr:colOff>57150</xdr:colOff>
      <xdr:row>7</xdr:row>
      <xdr:rowOff>219075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67525" y="14668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7</xdr:row>
      <xdr:rowOff>390525</xdr:rowOff>
    </xdr:from>
    <xdr:to>
      <xdr:col>13</xdr:col>
      <xdr:colOff>57150</xdr:colOff>
      <xdr:row>8</xdr:row>
      <xdr:rowOff>219075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67525" y="1905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371475</xdr:rowOff>
    </xdr:from>
    <xdr:to>
      <xdr:col>13</xdr:col>
      <xdr:colOff>57150</xdr:colOff>
      <xdr:row>9</xdr:row>
      <xdr:rowOff>161925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67525" y="2324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76200</xdr:rowOff>
    </xdr:from>
    <xdr:to>
      <xdr:col>13</xdr:col>
      <xdr:colOff>57150</xdr:colOff>
      <xdr:row>11</xdr:row>
      <xdr:rowOff>104775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67525" y="27432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19050</xdr:rowOff>
    </xdr:from>
    <xdr:to>
      <xdr:col>13</xdr:col>
      <xdr:colOff>66675</xdr:colOff>
      <xdr:row>13</xdr:row>
      <xdr:rowOff>47625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77050" y="31623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26770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47625</xdr:rowOff>
    </xdr:from>
    <xdr:to>
      <xdr:col>15</xdr:col>
      <xdr:colOff>247650</xdr:colOff>
      <xdr:row>4</xdr:row>
      <xdr:rowOff>123825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8277225" y="714375"/>
          <a:ext cx="1257300" cy="20955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19050</xdr:rowOff>
    </xdr:from>
    <xdr:to>
      <xdr:col>15</xdr:col>
      <xdr:colOff>257175</xdr:colOff>
      <xdr:row>6</xdr:row>
      <xdr:rowOff>47625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86750" y="1057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6</xdr:row>
      <xdr:rowOff>200025</xdr:rowOff>
    </xdr:from>
    <xdr:to>
      <xdr:col>15</xdr:col>
      <xdr:colOff>257175</xdr:colOff>
      <xdr:row>7</xdr:row>
      <xdr:rowOff>228600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86750" y="14763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400050</xdr:rowOff>
    </xdr:from>
    <xdr:to>
      <xdr:col>15</xdr:col>
      <xdr:colOff>257175</xdr:colOff>
      <xdr:row>8</xdr:row>
      <xdr:rowOff>228600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286750" y="191452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381000</xdr:rowOff>
    </xdr:from>
    <xdr:to>
      <xdr:col>15</xdr:col>
      <xdr:colOff>257175</xdr:colOff>
      <xdr:row>9</xdr:row>
      <xdr:rowOff>171450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286750" y="23336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85725</xdr:rowOff>
    </xdr:from>
    <xdr:to>
      <xdr:col>15</xdr:col>
      <xdr:colOff>257175</xdr:colOff>
      <xdr:row>11</xdr:row>
      <xdr:rowOff>114300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286750" y="27527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28575</xdr:rowOff>
    </xdr:from>
    <xdr:to>
      <xdr:col>15</xdr:col>
      <xdr:colOff>266700</xdr:colOff>
      <xdr:row>13</xdr:row>
      <xdr:rowOff>57150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296275" y="31718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200025</xdr:rowOff>
    </xdr:from>
    <xdr:to>
      <xdr:col>13</xdr:col>
      <xdr:colOff>85725</xdr:colOff>
      <xdr:row>14</xdr:row>
      <xdr:rowOff>228600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896100" y="35814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314325</xdr:colOff>
      <xdr:row>2</xdr:row>
      <xdr:rowOff>19050</xdr:rowOff>
    </xdr:from>
    <xdr:to>
      <xdr:col>6</xdr:col>
      <xdr:colOff>257175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219325" y="495300"/>
          <a:ext cx="15049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0</xdr:row>
      <xdr:rowOff>19050</xdr:rowOff>
    </xdr:from>
    <xdr:to>
      <xdr:col>10</xdr:col>
      <xdr:colOff>191624</xdr:colOff>
      <xdr:row>2</xdr:row>
      <xdr:rowOff>152400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4829175" y="19050"/>
          <a:ext cx="160132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4485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4580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4676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74676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4676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74676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4676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4771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88677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88773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8868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8868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88868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88868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88868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88963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74961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39</xdr:row>
      <xdr:rowOff>28575</xdr:rowOff>
    </xdr:from>
    <xdr:to>
      <xdr:col>2</xdr:col>
      <xdr:colOff>47625</xdr:colOff>
      <xdr:row>40</xdr:row>
      <xdr:rowOff>161925</xdr:rowOff>
    </xdr:to>
    <xdr:cxnSp macro="">
      <xdr:nvCxnSpPr>
        <xdr:cNvPr id="23" name="Straight Connector 22"/>
        <xdr:cNvCxnSpPr/>
      </xdr:nvCxnSpPr>
      <xdr:spPr>
        <a:xfrm>
          <a:off x="962025" y="10144125"/>
          <a:ext cx="0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4847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38100</xdr:rowOff>
    </xdr:from>
    <xdr:to>
      <xdr:col>13</xdr:col>
      <xdr:colOff>47625</xdr:colOff>
      <xdr:row>4</xdr:row>
      <xdr:rowOff>114300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858000" y="704850"/>
          <a:ext cx="1257300" cy="209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9525</xdr:rowOff>
    </xdr:from>
    <xdr:to>
      <xdr:col>13</xdr:col>
      <xdr:colOff>57150</xdr:colOff>
      <xdr:row>6</xdr:row>
      <xdr:rowOff>38100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67525" y="10477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190500</xdr:rowOff>
    </xdr:from>
    <xdr:to>
      <xdr:col>13</xdr:col>
      <xdr:colOff>57150</xdr:colOff>
      <xdr:row>7</xdr:row>
      <xdr:rowOff>219075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867525" y="14668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7</xdr:row>
      <xdr:rowOff>390525</xdr:rowOff>
    </xdr:from>
    <xdr:to>
      <xdr:col>13</xdr:col>
      <xdr:colOff>57150</xdr:colOff>
      <xdr:row>8</xdr:row>
      <xdr:rowOff>219075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67525" y="1905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371475</xdr:rowOff>
    </xdr:from>
    <xdr:to>
      <xdr:col>13</xdr:col>
      <xdr:colOff>57150</xdr:colOff>
      <xdr:row>9</xdr:row>
      <xdr:rowOff>161925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67525" y="2324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76200</xdr:rowOff>
    </xdr:from>
    <xdr:to>
      <xdr:col>13</xdr:col>
      <xdr:colOff>57150</xdr:colOff>
      <xdr:row>11</xdr:row>
      <xdr:rowOff>104775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67525" y="27432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19050</xdr:rowOff>
    </xdr:from>
    <xdr:to>
      <xdr:col>13</xdr:col>
      <xdr:colOff>66675</xdr:colOff>
      <xdr:row>13</xdr:row>
      <xdr:rowOff>47625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877050" y="31623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26770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47625</xdr:rowOff>
    </xdr:from>
    <xdr:to>
      <xdr:col>15</xdr:col>
      <xdr:colOff>247650</xdr:colOff>
      <xdr:row>4</xdr:row>
      <xdr:rowOff>123825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277225" y="714375"/>
          <a:ext cx="1257300" cy="20955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19050</xdr:rowOff>
    </xdr:from>
    <xdr:to>
      <xdr:col>15</xdr:col>
      <xdr:colOff>257175</xdr:colOff>
      <xdr:row>6</xdr:row>
      <xdr:rowOff>47625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286750" y="1057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6</xdr:row>
      <xdr:rowOff>200025</xdr:rowOff>
    </xdr:from>
    <xdr:to>
      <xdr:col>15</xdr:col>
      <xdr:colOff>257175</xdr:colOff>
      <xdr:row>7</xdr:row>
      <xdr:rowOff>228600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86750" y="14763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400050</xdr:rowOff>
    </xdr:from>
    <xdr:to>
      <xdr:col>15</xdr:col>
      <xdr:colOff>257175</xdr:colOff>
      <xdr:row>8</xdr:row>
      <xdr:rowOff>228600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286750" y="191452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381000</xdr:rowOff>
    </xdr:from>
    <xdr:to>
      <xdr:col>15</xdr:col>
      <xdr:colOff>257175</xdr:colOff>
      <xdr:row>9</xdr:row>
      <xdr:rowOff>171450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8286750" y="23336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85725</xdr:rowOff>
    </xdr:from>
    <xdr:to>
      <xdr:col>15</xdr:col>
      <xdr:colOff>257175</xdr:colOff>
      <xdr:row>11</xdr:row>
      <xdr:rowOff>114300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286750" y="27527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28575</xdr:rowOff>
    </xdr:from>
    <xdr:to>
      <xdr:col>15</xdr:col>
      <xdr:colOff>266700</xdr:colOff>
      <xdr:row>13</xdr:row>
      <xdr:rowOff>57150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296275" y="31718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200025</xdr:rowOff>
    </xdr:from>
    <xdr:to>
      <xdr:col>13</xdr:col>
      <xdr:colOff>85725</xdr:colOff>
      <xdr:row>14</xdr:row>
      <xdr:rowOff>228600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896100" y="35814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314325</xdr:colOff>
      <xdr:row>2</xdr:row>
      <xdr:rowOff>19050</xdr:rowOff>
    </xdr:from>
    <xdr:to>
      <xdr:col>6</xdr:col>
      <xdr:colOff>257175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219325" y="495300"/>
          <a:ext cx="15049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0</xdr:row>
      <xdr:rowOff>19050</xdr:rowOff>
    </xdr:from>
    <xdr:to>
      <xdr:col>10</xdr:col>
      <xdr:colOff>191624</xdr:colOff>
      <xdr:row>2</xdr:row>
      <xdr:rowOff>152400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4829175" y="19050"/>
          <a:ext cx="160132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389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484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580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580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580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580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580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675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2581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82677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772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772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2772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2772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2772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2867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8865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257300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39</xdr:row>
      <xdr:rowOff>28575</xdr:rowOff>
    </xdr:from>
    <xdr:to>
      <xdr:col>2</xdr:col>
      <xdr:colOff>47625</xdr:colOff>
      <xdr:row>40</xdr:row>
      <xdr:rowOff>161925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962025" y="10134600"/>
          <a:ext cx="0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3.%20TG,TG/M&#7899;i/Dao%20Duy%20Tuy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o doi CPM"/>
      <sheetName val="ĐK"/>
      <sheetName val="Bia"/>
      <sheetName val="B3.TKHS"/>
      <sheetName val="TTCHUNG"/>
      <sheetName val="a2"/>
      <sheetName val="a3"/>
      <sheetName val="Tom"/>
      <sheetName val="B1.LAPHS-GS"/>
      <sheetName val="B1.2.Kthuc GS"/>
      <sheetName val="B1.LAPHS-GP"/>
      <sheetName val="B1.2.Kthuc GP"/>
      <sheetName val="TG31"/>
      <sheetName val="K.TRA"/>
      <sheetName val="1.TG4.SK"/>
      <sheetName val="2.TG1.GNhan"/>
      <sheetName val="3.TG5.PhBien"/>
      <sheetName val="ĐxBTGGiu"/>
      <sheetName val="ĐxBTGGiam"/>
      <sheetName val="ĐxBTGGiamTHA"/>
      <sheetName val="4.TG6.GG1"/>
      <sheetName val="TG6.GG2"/>
      <sheetName val="TG6.GG2THA"/>
      <sheetName val="TB Tgiu"/>
      <sheetName val="TB GHTgiu"/>
      <sheetName val="TB Tgiam"/>
      <sheetName val="TB Tgiam (2)"/>
      <sheetName val="TB TgiamVKS"/>
      <sheetName val="TB TgiamVKS (2)"/>
      <sheetName val="TB TgiamTAND"/>
      <sheetName val="PC22-TGIU"/>
      <sheetName val="PC22-TGIAM"/>
      <sheetName val="TG19.LTX"/>
      <sheetName val="5.NX1"/>
      <sheetName val="5.NX2"/>
      <sheetName val="5.NX 3"/>
      <sheetName val="TONGDAT"/>
      <sheetName val="TG20.DC"/>
      <sheetName val="B9. BGHS"/>
      <sheetName val="GN(CAT)"/>
      <sheetName val="GG(CAT)"/>
    </sheetNames>
    <sheetDataSet>
      <sheetData sheetId="0"/>
      <sheetData sheetId="1"/>
      <sheetData sheetId="2"/>
      <sheetData sheetId="3"/>
      <sheetData sheetId="4">
        <row r="16">
          <cell r="C16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6"/>
  <sheetViews>
    <sheetView zoomScaleNormal="100" workbookViewId="0">
      <selection activeCell="L6" sqref="L6"/>
    </sheetView>
  </sheetViews>
  <sheetFormatPr defaultColWidth="9.140625" defaultRowHeight="18.75" x14ac:dyDescent="0.3"/>
  <cols>
    <col min="1" max="1" width="4.5703125" style="1" customWidth="1"/>
    <col min="2" max="2" width="25.140625" style="1" customWidth="1"/>
    <col min="3" max="3" width="7.42578125" style="1" customWidth="1"/>
    <col min="4" max="7" width="14.7109375" style="1" customWidth="1"/>
    <col min="8" max="16384" width="9.140625" style="1"/>
  </cols>
  <sheetData>
    <row r="1" spans="1:7" ht="20.25" x14ac:dyDescent="0.3">
      <c r="A1" s="96" t="s">
        <v>35</v>
      </c>
      <c r="B1" s="96"/>
      <c r="C1" s="96"/>
      <c r="D1" s="96"/>
      <c r="E1" s="96"/>
      <c r="F1" s="96"/>
      <c r="G1" s="96"/>
    </row>
    <row r="3" spans="1:7" s="3" customFormat="1" ht="64.5" x14ac:dyDescent="0.25">
      <c r="A3" s="46" t="s">
        <v>23</v>
      </c>
      <c r="B3" s="46" t="s">
        <v>24</v>
      </c>
      <c r="C3" s="47" t="s">
        <v>34</v>
      </c>
      <c r="D3" s="47" t="s">
        <v>39</v>
      </c>
      <c r="E3" s="47" t="s">
        <v>37</v>
      </c>
      <c r="F3" s="47" t="s">
        <v>38</v>
      </c>
      <c r="G3" s="47" t="s">
        <v>36</v>
      </c>
    </row>
    <row r="4" spans="1:7" ht="24.95" customHeight="1" x14ac:dyDescent="0.3">
      <c r="A4" s="41">
        <v>1</v>
      </c>
      <c r="B4" s="40"/>
      <c r="C4" s="40"/>
      <c r="D4" s="40"/>
      <c r="E4" s="40"/>
      <c r="F4" s="40"/>
      <c r="G4" s="40"/>
    </row>
    <row r="5" spans="1:7" ht="24.95" customHeight="1" x14ac:dyDescent="0.3">
      <c r="A5" s="42">
        <v>2</v>
      </c>
      <c r="B5" s="38"/>
      <c r="C5" s="38"/>
      <c r="D5" s="38"/>
      <c r="E5" s="38"/>
      <c r="F5" s="38"/>
      <c r="G5" s="38"/>
    </row>
    <row r="6" spans="1:7" ht="24.95" customHeight="1" x14ac:dyDescent="0.3">
      <c r="A6" s="41">
        <v>3</v>
      </c>
      <c r="B6" s="38"/>
      <c r="C6" s="38"/>
      <c r="D6" s="38"/>
      <c r="E6" s="38"/>
      <c r="F6" s="38"/>
      <c r="G6" s="38"/>
    </row>
    <row r="7" spans="1:7" ht="24.95" customHeight="1" x14ac:dyDescent="0.3">
      <c r="A7" s="42">
        <v>4</v>
      </c>
      <c r="B7" s="38"/>
      <c r="C7" s="38"/>
      <c r="D7" s="38"/>
      <c r="E7" s="38"/>
      <c r="F7" s="38"/>
      <c r="G7" s="38"/>
    </row>
    <row r="8" spans="1:7" ht="24.95" customHeight="1" x14ac:dyDescent="0.3">
      <c r="A8" s="41">
        <v>5</v>
      </c>
      <c r="B8" s="38"/>
      <c r="C8" s="38"/>
      <c r="D8" s="38"/>
      <c r="E8" s="38"/>
      <c r="F8" s="38"/>
      <c r="G8" s="38"/>
    </row>
    <row r="9" spans="1:7" ht="24.95" customHeight="1" x14ac:dyDescent="0.3">
      <c r="A9" s="42">
        <v>6</v>
      </c>
      <c r="B9" s="38"/>
      <c r="C9" s="38"/>
      <c r="D9" s="38"/>
      <c r="E9" s="38"/>
      <c r="F9" s="38"/>
      <c r="G9" s="38"/>
    </row>
    <row r="10" spans="1:7" ht="24.95" customHeight="1" x14ac:dyDescent="0.3">
      <c r="A10" s="41">
        <v>7</v>
      </c>
      <c r="B10" s="38"/>
      <c r="C10" s="38"/>
      <c r="D10" s="38"/>
      <c r="E10" s="38"/>
      <c r="F10" s="38"/>
      <c r="G10" s="38"/>
    </row>
    <row r="11" spans="1:7" ht="24.95" customHeight="1" x14ac:dyDescent="0.3">
      <c r="A11" s="42">
        <v>8</v>
      </c>
      <c r="B11" s="38"/>
      <c r="C11" s="38"/>
      <c r="D11" s="38"/>
      <c r="E11" s="38"/>
      <c r="F11" s="38"/>
      <c r="G11" s="38"/>
    </row>
    <row r="12" spans="1:7" ht="24.95" customHeight="1" x14ac:dyDescent="0.3">
      <c r="A12" s="41">
        <v>9</v>
      </c>
      <c r="B12" s="38"/>
      <c r="C12" s="38"/>
      <c r="D12" s="38"/>
      <c r="E12" s="38"/>
      <c r="F12" s="38"/>
      <c r="G12" s="38"/>
    </row>
    <row r="13" spans="1:7" ht="24.95" customHeight="1" x14ac:dyDescent="0.3">
      <c r="A13" s="42">
        <v>10</v>
      </c>
      <c r="B13" s="38"/>
      <c r="C13" s="38"/>
      <c r="D13" s="38"/>
      <c r="E13" s="38"/>
      <c r="F13" s="38"/>
      <c r="G13" s="38"/>
    </row>
    <row r="14" spans="1:7" ht="24.95" customHeight="1" x14ac:dyDescent="0.3">
      <c r="A14" s="41">
        <v>11</v>
      </c>
      <c r="B14" s="38"/>
      <c r="C14" s="38"/>
      <c r="D14" s="38"/>
      <c r="E14" s="38"/>
      <c r="F14" s="38"/>
      <c r="G14" s="38"/>
    </row>
    <row r="15" spans="1:7" ht="24.95" customHeight="1" x14ac:dyDescent="0.3">
      <c r="A15" s="42">
        <v>12</v>
      </c>
      <c r="B15" s="38"/>
      <c r="C15" s="38"/>
      <c r="D15" s="38"/>
      <c r="E15" s="38"/>
      <c r="F15" s="38"/>
      <c r="G15" s="38"/>
    </row>
    <row r="16" spans="1:7" ht="24.95" customHeight="1" x14ac:dyDescent="0.3">
      <c r="A16" s="41">
        <v>13</v>
      </c>
      <c r="B16" s="38"/>
      <c r="C16" s="38"/>
      <c r="D16" s="38"/>
      <c r="E16" s="38"/>
      <c r="F16" s="38"/>
      <c r="G16" s="38"/>
    </row>
    <row r="17" spans="1:7" ht="24.95" customHeight="1" x14ac:dyDescent="0.3">
      <c r="A17" s="42">
        <v>14</v>
      </c>
      <c r="B17" s="38"/>
      <c r="C17" s="38"/>
      <c r="D17" s="38"/>
      <c r="E17" s="38"/>
      <c r="F17" s="38"/>
      <c r="G17" s="38"/>
    </row>
    <row r="18" spans="1:7" ht="24.95" customHeight="1" x14ac:dyDescent="0.3">
      <c r="A18" s="41">
        <v>15</v>
      </c>
      <c r="B18" s="38"/>
      <c r="C18" s="38"/>
      <c r="D18" s="38"/>
      <c r="E18" s="38"/>
      <c r="F18" s="38"/>
      <c r="G18" s="38"/>
    </row>
    <row r="19" spans="1:7" ht="24.95" customHeight="1" x14ac:dyDescent="0.3">
      <c r="A19" s="42">
        <v>16</v>
      </c>
      <c r="B19" s="38"/>
      <c r="C19" s="38"/>
      <c r="D19" s="38"/>
      <c r="E19" s="38"/>
      <c r="F19" s="38"/>
      <c r="G19" s="38"/>
    </row>
    <row r="20" spans="1:7" ht="24.95" customHeight="1" x14ac:dyDescent="0.3">
      <c r="A20" s="41">
        <v>17</v>
      </c>
      <c r="B20" s="38"/>
      <c r="C20" s="38"/>
      <c r="D20" s="38"/>
      <c r="E20" s="38"/>
      <c r="F20" s="38"/>
      <c r="G20" s="38"/>
    </row>
    <row r="21" spans="1:7" ht="24.95" customHeight="1" x14ac:dyDescent="0.3">
      <c r="A21" s="42">
        <v>18</v>
      </c>
      <c r="B21" s="38"/>
      <c r="C21" s="38"/>
      <c r="D21" s="38"/>
      <c r="E21" s="38"/>
      <c r="F21" s="38"/>
      <c r="G21" s="38"/>
    </row>
    <row r="22" spans="1:7" ht="24.95" customHeight="1" x14ac:dyDescent="0.3">
      <c r="A22" s="41">
        <v>19</v>
      </c>
      <c r="B22" s="38"/>
      <c r="C22" s="38"/>
      <c r="D22" s="38"/>
      <c r="E22" s="38"/>
      <c r="F22" s="38"/>
      <c r="G22" s="38"/>
    </row>
    <row r="23" spans="1:7" ht="24.95" customHeight="1" x14ac:dyDescent="0.3">
      <c r="A23" s="42">
        <v>20</v>
      </c>
      <c r="B23" s="38"/>
      <c r="C23" s="38"/>
      <c r="D23" s="38"/>
      <c r="E23" s="38"/>
      <c r="F23" s="38"/>
      <c r="G23" s="38"/>
    </row>
    <row r="24" spans="1:7" ht="24.95" customHeight="1" x14ac:dyDescent="0.3">
      <c r="A24" s="41">
        <v>21</v>
      </c>
      <c r="B24" s="38"/>
      <c r="C24" s="38"/>
      <c r="D24" s="38"/>
      <c r="E24" s="38"/>
      <c r="F24" s="38"/>
      <c r="G24" s="38"/>
    </row>
    <row r="25" spans="1:7" ht="24.95" customHeight="1" x14ac:dyDescent="0.3">
      <c r="A25" s="42">
        <v>22</v>
      </c>
      <c r="B25" s="38"/>
      <c r="C25" s="38"/>
      <c r="D25" s="38"/>
      <c r="E25" s="38"/>
      <c r="F25" s="38"/>
      <c r="G25" s="38"/>
    </row>
    <row r="26" spans="1:7" ht="24.95" customHeight="1" x14ac:dyDescent="0.3">
      <c r="A26" s="41">
        <v>23</v>
      </c>
      <c r="B26" s="38"/>
      <c r="C26" s="38"/>
      <c r="D26" s="38"/>
      <c r="E26" s="38"/>
      <c r="F26" s="38"/>
      <c r="G26" s="38"/>
    </row>
    <row r="27" spans="1:7" ht="24.95" customHeight="1" x14ac:dyDescent="0.3">
      <c r="A27" s="42">
        <v>24</v>
      </c>
      <c r="B27" s="38"/>
      <c r="C27" s="38"/>
      <c r="D27" s="38"/>
      <c r="E27" s="38"/>
      <c r="F27" s="38"/>
      <c r="G27" s="38"/>
    </row>
    <row r="28" spans="1:7" ht="24.95" customHeight="1" x14ac:dyDescent="0.3">
      <c r="A28" s="41">
        <v>25</v>
      </c>
      <c r="B28" s="38"/>
      <c r="C28" s="38"/>
      <c r="D28" s="38"/>
      <c r="E28" s="38"/>
      <c r="F28" s="38"/>
      <c r="G28" s="38"/>
    </row>
    <row r="29" spans="1:7" ht="24.95" customHeight="1" x14ac:dyDescent="0.3">
      <c r="A29" s="42">
        <v>26</v>
      </c>
      <c r="B29" s="38"/>
      <c r="C29" s="38"/>
      <c r="D29" s="38"/>
      <c r="E29" s="38"/>
      <c r="F29" s="38"/>
      <c r="G29" s="38"/>
    </row>
    <row r="30" spans="1:7" ht="24.95" customHeight="1" x14ac:dyDescent="0.3">
      <c r="A30" s="41">
        <v>27</v>
      </c>
      <c r="B30" s="38"/>
      <c r="C30" s="38"/>
      <c r="D30" s="38"/>
      <c r="E30" s="38"/>
      <c r="F30" s="38"/>
      <c r="G30" s="38"/>
    </row>
    <row r="31" spans="1:7" ht="24.95" customHeight="1" x14ac:dyDescent="0.3">
      <c r="A31" s="42">
        <v>28</v>
      </c>
      <c r="B31" s="38"/>
      <c r="C31" s="38"/>
      <c r="D31" s="38"/>
      <c r="E31" s="38"/>
      <c r="F31" s="38"/>
      <c r="G31" s="38"/>
    </row>
    <row r="32" spans="1:7" ht="24.95" customHeight="1" x14ac:dyDescent="0.3">
      <c r="A32" s="41">
        <v>29</v>
      </c>
      <c r="B32" s="38"/>
      <c r="C32" s="38"/>
      <c r="D32" s="38"/>
      <c r="E32" s="38"/>
      <c r="F32" s="38"/>
      <c r="G32" s="38"/>
    </row>
    <row r="33" spans="1:7" ht="24.95" customHeight="1" x14ac:dyDescent="0.3">
      <c r="A33" s="42">
        <v>30</v>
      </c>
      <c r="B33" s="38"/>
      <c r="C33" s="38"/>
      <c r="D33" s="38"/>
      <c r="E33" s="38"/>
      <c r="F33" s="38"/>
      <c r="G33" s="38"/>
    </row>
    <row r="34" spans="1:7" ht="24.95" customHeight="1" x14ac:dyDescent="0.3">
      <c r="A34" s="41">
        <v>31</v>
      </c>
      <c r="B34" s="38"/>
      <c r="C34" s="38"/>
      <c r="D34" s="38"/>
      <c r="E34" s="38"/>
      <c r="F34" s="38"/>
      <c r="G34" s="38"/>
    </row>
    <row r="35" spans="1:7" ht="24.95" customHeight="1" x14ac:dyDescent="0.3">
      <c r="A35" s="42">
        <v>32</v>
      </c>
      <c r="B35" s="38"/>
      <c r="C35" s="38"/>
      <c r="D35" s="38"/>
      <c r="E35" s="38"/>
      <c r="F35" s="38"/>
      <c r="G35" s="38"/>
    </row>
    <row r="36" spans="1:7" ht="24.95" customHeight="1" x14ac:dyDescent="0.3">
      <c r="A36" s="41">
        <v>33</v>
      </c>
      <c r="B36" s="38"/>
      <c r="C36" s="38"/>
      <c r="D36" s="38"/>
      <c r="E36" s="38"/>
      <c r="F36" s="38"/>
      <c r="G36" s="38"/>
    </row>
    <row r="37" spans="1:7" ht="24.95" customHeight="1" x14ac:dyDescent="0.3">
      <c r="A37" s="42">
        <v>34</v>
      </c>
      <c r="B37" s="38"/>
      <c r="C37" s="38"/>
      <c r="D37" s="38"/>
      <c r="E37" s="38"/>
      <c r="F37" s="38"/>
      <c r="G37" s="38"/>
    </row>
    <row r="38" spans="1:7" ht="24.95" customHeight="1" x14ac:dyDescent="0.3">
      <c r="A38" s="41">
        <v>35</v>
      </c>
      <c r="B38" s="38"/>
      <c r="C38" s="38"/>
      <c r="D38" s="38"/>
      <c r="E38" s="38"/>
      <c r="F38" s="38"/>
      <c r="G38" s="38"/>
    </row>
    <row r="39" spans="1:7" ht="24.95" customHeight="1" x14ac:dyDescent="0.3">
      <c r="A39" s="42">
        <v>36</v>
      </c>
      <c r="B39" s="38"/>
      <c r="C39" s="38"/>
      <c r="D39" s="38"/>
      <c r="E39" s="38"/>
      <c r="F39" s="38"/>
      <c r="G39" s="38"/>
    </row>
    <row r="40" spans="1:7" ht="24.95" customHeight="1" x14ac:dyDescent="0.3">
      <c r="A40" s="41">
        <v>37</v>
      </c>
      <c r="B40" s="38"/>
      <c r="C40" s="38"/>
      <c r="D40" s="38"/>
      <c r="E40" s="38"/>
      <c r="F40" s="38"/>
      <c r="G40" s="38"/>
    </row>
    <row r="41" spans="1:7" ht="24.95" customHeight="1" x14ac:dyDescent="0.3">
      <c r="A41" s="42">
        <v>38</v>
      </c>
      <c r="B41" s="38"/>
      <c r="C41" s="38"/>
      <c r="D41" s="38"/>
      <c r="E41" s="38"/>
      <c r="F41" s="38"/>
      <c r="G41" s="38"/>
    </row>
    <row r="42" spans="1:7" ht="24.95" customHeight="1" x14ac:dyDescent="0.3">
      <c r="A42" s="41">
        <v>39</v>
      </c>
      <c r="B42" s="38"/>
      <c r="C42" s="38"/>
      <c r="D42" s="38"/>
      <c r="E42" s="38"/>
      <c r="F42" s="38"/>
      <c r="G42" s="38"/>
    </row>
    <row r="43" spans="1:7" ht="24.95" customHeight="1" x14ac:dyDescent="0.3">
      <c r="A43" s="42">
        <v>40</v>
      </c>
      <c r="B43" s="38"/>
      <c r="C43" s="38"/>
      <c r="D43" s="38"/>
      <c r="E43" s="38"/>
      <c r="F43" s="38"/>
      <c r="G43" s="38"/>
    </row>
    <row r="44" spans="1:7" ht="24.95" customHeight="1" x14ac:dyDescent="0.3">
      <c r="A44" s="41">
        <v>41</v>
      </c>
      <c r="B44" s="38"/>
      <c r="C44" s="38"/>
      <c r="D44" s="38"/>
      <c r="E44" s="38"/>
      <c r="F44" s="38"/>
      <c r="G44" s="38"/>
    </row>
    <row r="45" spans="1:7" ht="24.95" customHeight="1" x14ac:dyDescent="0.3">
      <c r="A45" s="42">
        <v>42</v>
      </c>
      <c r="B45" s="38"/>
      <c r="C45" s="38"/>
      <c r="D45" s="38"/>
      <c r="E45" s="38"/>
      <c r="F45" s="38"/>
      <c r="G45" s="38"/>
    </row>
    <row r="46" spans="1:7" ht="24.95" customHeight="1" x14ac:dyDescent="0.3">
      <c r="A46" s="41">
        <v>43</v>
      </c>
      <c r="B46" s="38"/>
      <c r="C46" s="38"/>
      <c r="D46" s="38"/>
      <c r="E46" s="38"/>
      <c r="F46" s="38"/>
      <c r="G46" s="38"/>
    </row>
    <row r="47" spans="1:7" ht="24.95" customHeight="1" x14ac:dyDescent="0.3">
      <c r="A47" s="42">
        <v>44</v>
      </c>
      <c r="B47" s="38"/>
      <c r="C47" s="38"/>
      <c r="D47" s="38"/>
      <c r="E47" s="38"/>
      <c r="F47" s="38"/>
      <c r="G47" s="38"/>
    </row>
    <row r="48" spans="1:7" ht="24.95" customHeight="1" x14ac:dyDescent="0.3">
      <c r="A48" s="41">
        <v>45</v>
      </c>
      <c r="B48" s="38"/>
      <c r="C48" s="38"/>
      <c r="D48" s="38"/>
      <c r="E48" s="38"/>
      <c r="F48" s="38"/>
      <c r="G48" s="38"/>
    </row>
    <row r="49" spans="1:7" ht="24.95" customHeight="1" x14ac:dyDescent="0.3">
      <c r="A49" s="42">
        <v>46</v>
      </c>
      <c r="B49" s="38"/>
      <c r="C49" s="38"/>
      <c r="D49" s="38"/>
      <c r="E49" s="38"/>
      <c r="F49" s="38"/>
      <c r="G49" s="38"/>
    </row>
    <row r="50" spans="1:7" ht="24.95" customHeight="1" x14ac:dyDescent="0.3">
      <c r="A50" s="41">
        <v>47</v>
      </c>
      <c r="B50" s="38"/>
      <c r="C50" s="38"/>
      <c r="D50" s="38"/>
      <c r="E50" s="38"/>
      <c r="F50" s="38"/>
      <c r="G50" s="38"/>
    </row>
    <row r="51" spans="1:7" ht="24.95" customHeight="1" x14ac:dyDescent="0.3">
      <c r="A51" s="42">
        <v>48</v>
      </c>
      <c r="B51" s="38"/>
      <c r="C51" s="38"/>
      <c r="D51" s="38"/>
      <c r="E51" s="38"/>
      <c r="F51" s="38"/>
      <c r="G51" s="38"/>
    </row>
    <row r="52" spans="1:7" ht="24.95" customHeight="1" x14ac:dyDescent="0.3">
      <c r="A52" s="41">
        <v>49</v>
      </c>
      <c r="B52" s="38"/>
      <c r="C52" s="38"/>
      <c r="D52" s="38"/>
      <c r="E52" s="38"/>
      <c r="F52" s="38"/>
      <c r="G52" s="38"/>
    </row>
    <row r="53" spans="1:7" ht="24.95" customHeight="1" x14ac:dyDescent="0.3">
      <c r="A53" s="42">
        <v>50</v>
      </c>
      <c r="B53" s="38"/>
      <c r="C53" s="38"/>
      <c r="D53" s="38"/>
      <c r="E53" s="38"/>
      <c r="F53" s="38"/>
      <c r="G53" s="38"/>
    </row>
    <row r="54" spans="1:7" ht="24.95" customHeight="1" x14ac:dyDescent="0.3">
      <c r="A54" s="41">
        <v>51</v>
      </c>
      <c r="B54" s="38"/>
      <c r="C54" s="38"/>
      <c r="D54" s="38"/>
      <c r="E54" s="38"/>
      <c r="F54" s="38"/>
      <c r="G54" s="38"/>
    </row>
    <row r="55" spans="1:7" ht="24.95" customHeight="1" x14ac:dyDescent="0.3">
      <c r="A55" s="42">
        <v>52</v>
      </c>
      <c r="B55" s="38"/>
      <c r="C55" s="38"/>
      <c r="D55" s="38"/>
      <c r="E55" s="38"/>
      <c r="F55" s="38"/>
      <c r="G55" s="38"/>
    </row>
    <row r="56" spans="1:7" ht="24" customHeight="1" x14ac:dyDescent="0.3">
      <c r="A56" s="41">
        <v>53</v>
      </c>
      <c r="B56" s="38"/>
      <c r="C56" s="38"/>
      <c r="D56" s="38"/>
      <c r="E56" s="38"/>
      <c r="F56" s="38"/>
      <c r="G56" s="38"/>
    </row>
    <row r="57" spans="1:7" ht="24" customHeight="1" x14ac:dyDescent="0.3">
      <c r="A57" s="42">
        <v>54</v>
      </c>
      <c r="B57" s="38"/>
      <c r="C57" s="38"/>
      <c r="D57" s="38"/>
      <c r="E57" s="38"/>
      <c r="F57" s="38"/>
      <c r="G57" s="38"/>
    </row>
    <row r="58" spans="1:7" ht="24" customHeight="1" x14ac:dyDescent="0.3">
      <c r="A58" s="41">
        <v>55</v>
      </c>
      <c r="B58" s="38"/>
      <c r="C58" s="38"/>
      <c r="D58" s="38"/>
      <c r="E58" s="38"/>
      <c r="F58" s="38"/>
      <c r="G58" s="38"/>
    </row>
    <row r="59" spans="1:7" ht="24" customHeight="1" x14ac:dyDescent="0.3">
      <c r="A59" s="42">
        <v>56</v>
      </c>
      <c r="B59" s="38"/>
      <c r="C59" s="38"/>
      <c r="D59" s="38"/>
      <c r="E59" s="38"/>
      <c r="F59" s="38"/>
      <c r="G59" s="38"/>
    </row>
    <row r="60" spans="1:7" ht="24" customHeight="1" x14ac:dyDescent="0.3">
      <c r="A60" s="41">
        <v>57</v>
      </c>
      <c r="B60" s="38"/>
      <c r="C60" s="38"/>
      <c r="D60" s="38"/>
      <c r="E60" s="38"/>
      <c r="F60" s="38"/>
      <c r="G60" s="38"/>
    </row>
    <row r="61" spans="1:7" ht="24" customHeight="1" x14ac:dyDescent="0.3">
      <c r="A61" s="42">
        <v>58</v>
      </c>
      <c r="B61" s="38"/>
      <c r="C61" s="38"/>
      <c r="D61" s="38"/>
      <c r="E61" s="38"/>
      <c r="F61" s="38"/>
      <c r="G61" s="38"/>
    </row>
    <row r="62" spans="1:7" ht="24" customHeight="1" x14ac:dyDescent="0.3">
      <c r="A62" s="41">
        <v>59</v>
      </c>
      <c r="B62" s="38"/>
      <c r="C62" s="38"/>
      <c r="D62" s="38"/>
      <c r="E62" s="38"/>
      <c r="F62" s="38"/>
      <c r="G62" s="38"/>
    </row>
    <row r="63" spans="1:7" ht="24" customHeight="1" x14ac:dyDescent="0.3">
      <c r="A63" s="42">
        <v>60</v>
      </c>
      <c r="B63" s="38"/>
      <c r="C63" s="38"/>
      <c r="D63" s="38"/>
      <c r="E63" s="38"/>
      <c r="F63" s="38"/>
      <c r="G63" s="38"/>
    </row>
    <row r="64" spans="1:7" ht="24" customHeight="1" x14ac:dyDescent="0.3">
      <c r="A64" s="41">
        <v>61</v>
      </c>
      <c r="B64" s="38"/>
      <c r="C64" s="38"/>
      <c r="D64" s="38"/>
      <c r="E64" s="38"/>
      <c r="F64" s="38"/>
      <c r="G64" s="38"/>
    </row>
    <row r="65" spans="1:7" ht="24" customHeight="1" x14ac:dyDescent="0.3">
      <c r="A65" s="42">
        <v>62</v>
      </c>
      <c r="B65" s="38"/>
      <c r="C65" s="38"/>
      <c r="D65" s="38"/>
      <c r="E65" s="38"/>
      <c r="F65" s="38"/>
      <c r="G65" s="38"/>
    </row>
    <row r="66" spans="1:7" ht="24" customHeight="1" x14ac:dyDescent="0.3">
      <c r="A66" s="41">
        <v>63</v>
      </c>
      <c r="B66" s="38"/>
      <c r="C66" s="38"/>
      <c r="D66" s="38"/>
      <c r="E66" s="38"/>
      <c r="F66" s="38"/>
      <c r="G66" s="38"/>
    </row>
    <row r="67" spans="1:7" ht="24" customHeight="1" x14ac:dyDescent="0.3">
      <c r="A67" s="42">
        <v>64</v>
      </c>
      <c r="B67" s="38"/>
      <c r="C67" s="38"/>
      <c r="D67" s="38"/>
      <c r="E67" s="38"/>
      <c r="F67" s="38"/>
      <c r="G67" s="38"/>
    </row>
    <row r="68" spans="1:7" ht="24" customHeight="1" x14ac:dyDescent="0.3">
      <c r="A68" s="41">
        <v>65</v>
      </c>
      <c r="B68" s="38"/>
      <c r="C68" s="38"/>
      <c r="D68" s="38"/>
      <c r="E68" s="38"/>
      <c r="F68" s="38"/>
      <c r="G68" s="38"/>
    </row>
    <row r="69" spans="1:7" ht="24" customHeight="1" x14ac:dyDescent="0.3">
      <c r="A69" s="42">
        <v>66</v>
      </c>
      <c r="B69" s="38"/>
      <c r="C69" s="38"/>
      <c r="D69" s="38"/>
      <c r="E69" s="38"/>
      <c r="F69" s="38"/>
      <c r="G69" s="38"/>
    </row>
    <row r="70" spans="1:7" ht="24" customHeight="1" x14ac:dyDescent="0.3">
      <c r="A70" s="41">
        <v>67</v>
      </c>
      <c r="B70" s="38"/>
      <c r="C70" s="38"/>
      <c r="D70" s="38"/>
      <c r="E70" s="38"/>
      <c r="F70" s="38"/>
      <c r="G70" s="38"/>
    </row>
    <row r="71" spans="1:7" ht="24" customHeight="1" x14ac:dyDescent="0.3">
      <c r="A71" s="42">
        <v>68</v>
      </c>
      <c r="B71" s="38"/>
      <c r="C71" s="38"/>
      <c r="D71" s="38"/>
      <c r="E71" s="38"/>
      <c r="F71" s="38"/>
      <c r="G71" s="38"/>
    </row>
    <row r="72" spans="1:7" ht="24" customHeight="1" x14ac:dyDescent="0.3">
      <c r="A72" s="41">
        <v>69</v>
      </c>
      <c r="B72" s="38"/>
      <c r="C72" s="38"/>
      <c r="D72" s="38"/>
      <c r="E72" s="38"/>
      <c r="F72" s="38"/>
      <c r="G72" s="38"/>
    </row>
    <row r="73" spans="1:7" ht="24" customHeight="1" x14ac:dyDescent="0.3">
      <c r="A73" s="42">
        <v>70</v>
      </c>
      <c r="B73" s="38"/>
      <c r="C73" s="38"/>
      <c r="D73" s="38"/>
      <c r="E73" s="38"/>
      <c r="F73" s="38"/>
      <c r="G73" s="38"/>
    </row>
    <row r="74" spans="1:7" ht="24" customHeight="1" x14ac:dyDescent="0.3">
      <c r="A74" s="41">
        <v>71</v>
      </c>
      <c r="B74" s="38"/>
      <c r="C74" s="38"/>
      <c r="D74" s="38"/>
      <c r="E74" s="38"/>
      <c r="F74" s="38"/>
      <c r="G74" s="38"/>
    </row>
    <row r="75" spans="1:7" ht="24" customHeight="1" x14ac:dyDescent="0.3">
      <c r="A75" s="42">
        <v>72</v>
      </c>
      <c r="B75" s="38"/>
      <c r="C75" s="38"/>
      <c r="D75" s="38"/>
      <c r="E75" s="38"/>
      <c r="F75" s="38"/>
      <c r="G75" s="38"/>
    </row>
    <row r="76" spans="1:7" ht="24" customHeight="1" x14ac:dyDescent="0.3">
      <c r="A76" s="41">
        <v>73</v>
      </c>
      <c r="B76" s="38"/>
      <c r="C76" s="38"/>
      <c r="D76" s="38"/>
      <c r="E76" s="38"/>
      <c r="F76" s="38"/>
      <c r="G76" s="38"/>
    </row>
    <row r="77" spans="1:7" ht="24" customHeight="1" x14ac:dyDescent="0.3">
      <c r="A77" s="42">
        <v>74</v>
      </c>
      <c r="B77" s="38"/>
      <c r="C77" s="38"/>
      <c r="D77" s="38"/>
      <c r="E77" s="38"/>
      <c r="F77" s="38"/>
      <c r="G77" s="38"/>
    </row>
    <row r="78" spans="1:7" x14ac:dyDescent="0.3">
      <c r="A78" s="41">
        <v>75</v>
      </c>
      <c r="B78" s="38"/>
      <c r="C78" s="38"/>
      <c r="D78" s="38"/>
      <c r="E78" s="38"/>
      <c r="F78" s="38"/>
      <c r="G78" s="38"/>
    </row>
    <row r="79" spans="1:7" x14ac:dyDescent="0.3">
      <c r="A79" s="42">
        <v>76</v>
      </c>
      <c r="B79" s="38"/>
      <c r="C79" s="38"/>
      <c r="D79" s="38"/>
      <c r="E79" s="38"/>
      <c r="F79" s="38"/>
      <c r="G79" s="38"/>
    </row>
    <row r="80" spans="1:7" x14ac:dyDescent="0.3">
      <c r="A80" s="41">
        <v>77</v>
      </c>
      <c r="B80" s="38"/>
      <c r="C80" s="38"/>
      <c r="D80" s="38"/>
      <c r="E80" s="38"/>
      <c r="F80" s="38"/>
      <c r="G80" s="38"/>
    </row>
    <row r="81" spans="1:7" x14ac:dyDescent="0.3">
      <c r="A81" s="42">
        <v>78</v>
      </c>
      <c r="B81" s="38"/>
      <c r="C81" s="38"/>
      <c r="D81" s="38"/>
      <c r="E81" s="38"/>
      <c r="F81" s="38"/>
      <c r="G81" s="38"/>
    </row>
    <row r="82" spans="1:7" x14ac:dyDescent="0.3">
      <c r="A82" s="41">
        <v>79</v>
      </c>
      <c r="B82" s="38"/>
      <c r="C82" s="38"/>
      <c r="D82" s="38"/>
      <c r="E82" s="38"/>
      <c r="F82" s="38"/>
      <c r="G82" s="38"/>
    </row>
    <row r="83" spans="1:7" x14ac:dyDescent="0.3">
      <c r="A83" s="42">
        <v>80</v>
      </c>
      <c r="B83" s="38"/>
      <c r="C83" s="38"/>
      <c r="D83" s="38"/>
      <c r="E83" s="38"/>
      <c r="F83" s="38"/>
      <c r="G83" s="38"/>
    </row>
    <row r="84" spans="1:7" x14ac:dyDescent="0.3">
      <c r="A84" s="41">
        <v>81</v>
      </c>
      <c r="B84" s="38"/>
      <c r="C84" s="38"/>
      <c r="D84" s="38"/>
      <c r="E84" s="38"/>
      <c r="F84" s="38"/>
      <c r="G84" s="38"/>
    </row>
    <row r="85" spans="1:7" x14ac:dyDescent="0.3">
      <c r="A85" s="42">
        <v>82</v>
      </c>
      <c r="B85" s="38"/>
      <c r="C85" s="38"/>
      <c r="D85" s="38"/>
      <c r="E85" s="38"/>
      <c r="F85" s="38"/>
      <c r="G85" s="38"/>
    </row>
    <row r="86" spans="1:7" x14ac:dyDescent="0.3">
      <c r="A86" s="41">
        <v>83</v>
      </c>
      <c r="B86" s="38"/>
      <c r="C86" s="38"/>
      <c r="D86" s="38"/>
      <c r="E86" s="38"/>
      <c r="F86" s="38"/>
      <c r="G86" s="38"/>
    </row>
    <row r="87" spans="1:7" x14ac:dyDescent="0.3">
      <c r="A87" s="42">
        <v>84</v>
      </c>
      <c r="B87" s="38"/>
      <c r="C87" s="38"/>
      <c r="D87" s="38"/>
      <c r="E87" s="38"/>
      <c r="F87" s="38"/>
      <c r="G87" s="38"/>
    </row>
    <row r="88" spans="1:7" x14ac:dyDescent="0.3">
      <c r="A88" s="41">
        <v>85</v>
      </c>
      <c r="B88" s="38"/>
      <c r="C88" s="38"/>
      <c r="D88" s="38"/>
      <c r="E88" s="38"/>
      <c r="F88" s="38"/>
      <c r="G88" s="38"/>
    </row>
    <row r="89" spans="1:7" x14ac:dyDescent="0.3">
      <c r="A89" s="42">
        <v>86</v>
      </c>
      <c r="B89" s="38"/>
      <c r="C89" s="38"/>
      <c r="D89" s="38"/>
      <c r="E89" s="38"/>
      <c r="F89" s="38"/>
      <c r="G89" s="38"/>
    </row>
    <row r="90" spans="1:7" x14ac:dyDescent="0.3">
      <c r="A90" s="41">
        <v>87</v>
      </c>
      <c r="B90" s="38"/>
      <c r="C90" s="38"/>
      <c r="D90" s="38"/>
      <c r="E90" s="38"/>
      <c r="F90" s="38"/>
      <c r="G90" s="38"/>
    </row>
    <row r="91" spans="1:7" x14ac:dyDescent="0.3">
      <c r="A91" s="42">
        <v>88</v>
      </c>
      <c r="B91" s="38"/>
      <c r="C91" s="38"/>
      <c r="D91" s="38"/>
      <c r="E91" s="38"/>
      <c r="F91" s="38"/>
      <c r="G91" s="38"/>
    </row>
    <row r="92" spans="1:7" x14ac:dyDescent="0.3">
      <c r="A92" s="41">
        <v>89</v>
      </c>
      <c r="B92" s="38"/>
      <c r="C92" s="38"/>
      <c r="D92" s="38"/>
      <c r="E92" s="38"/>
      <c r="F92" s="38"/>
      <c r="G92" s="38"/>
    </row>
    <row r="93" spans="1:7" x14ac:dyDescent="0.3">
      <c r="A93" s="42">
        <v>90</v>
      </c>
      <c r="B93" s="38"/>
      <c r="C93" s="38"/>
      <c r="D93" s="38"/>
      <c r="E93" s="38"/>
      <c r="F93" s="38"/>
      <c r="G93" s="38"/>
    </row>
    <row r="94" spans="1:7" x14ac:dyDescent="0.3">
      <c r="A94" s="41">
        <v>91</v>
      </c>
      <c r="B94" s="38"/>
      <c r="C94" s="38"/>
      <c r="D94" s="38"/>
      <c r="E94" s="38"/>
      <c r="F94" s="38"/>
      <c r="G94" s="38"/>
    </row>
    <row r="95" spans="1:7" x14ac:dyDescent="0.3">
      <c r="A95" s="42">
        <v>92</v>
      </c>
      <c r="B95" s="38"/>
      <c r="C95" s="38"/>
      <c r="D95" s="38"/>
      <c r="E95" s="38"/>
      <c r="F95" s="38"/>
      <c r="G95" s="38"/>
    </row>
    <row r="96" spans="1:7" x14ac:dyDescent="0.3">
      <c r="A96" s="41">
        <v>93</v>
      </c>
      <c r="B96" s="38"/>
      <c r="C96" s="38"/>
      <c r="D96" s="38"/>
      <c r="E96" s="38"/>
      <c r="F96" s="38"/>
      <c r="G96" s="38"/>
    </row>
    <row r="97" spans="1:7" x14ac:dyDescent="0.3">
      <c r="A97" s="42">
        <v>94</v>
      </c>
      <c r="B97" s="38"/>
      <c r="C97" s="38"/>
      <c r="D97" s="38"/>
      <c r="E97" s="38"/>
      <c r="F97" s="38"/>
      <c r="G97" s="38"/>
    </row>
    <row r="98" spans="1:7" x14ac:dyDescent="0.3">
      <c r="A98" s="41">
        <v>95</v>
      </c>
      <c r="B98" s="38"/>
      <c r="C98" s="38"/>
      <c r="D98" s="38"/>
      <c r="E98" s="38"/>
      <c r="F98" s="38"/>
      <c r="G98" s="38"/>
    </row>
    <row r="99" spans="1:7" x14ac:dyDescent="0.3">
      <c r="A99" s="42">
        <v>96</v>
      </c>
      <c r="B99" s="38"/>
      <c r="C99" s="38"/>
      <c r="D99" s="38"/>
      <c r="E99" s="38"/>
      <c r="F99" s="38"/>
      <c r="G99" s="38"/>
    </row>
    <row r="100" spans="1:7" x14ac:dyDescent="0.3">
      <c r="A100" s="41">
        <v>97</v>
      </c>
      <c r="B100" s="38"/>
      <c r="C100" s="38"/>
      <c r="D100" s="38"/>
      <c r="E100" s="38"/>
      <c r="F100" s="38"/>
      <c r="G100" s="38"/>
    </row>
    <row r="101" spans="1:7" x14ac:dyDescent="0.3">
      <c r="A101" s="38"/>
      <c r="B101" s="38"/>
      <c r="C101" s="38"/>
      <c r="D101" s="38"/>
      <c r="E101" s="38"/>
      <c r="F101" s="38"/>
      <c r="G101" s="38"/>
    </row>
    <row r="102" spans="1:7" x14ac:dyDescent="0.3">
      <c r="A102" s="38"/>
      <c r="B102" s="38"/>
      <c r="C102" s="38"/>
      <c r="D102" s="38"/>
      <c r="E102" s="38"/>
      <c r="F102" s="38"/>
      <c r="G102" s="38"/>
    </row>
    <row r="103" spans="1:7" x14ac:dyDescent="0.3">
      <c r="A103" s="38"/>
      <c r="B103" s="38"/>
      <c r="C103" s="38"/>
      <c r="D103" s="38"/>
      <c r="E103" s="38"/>
      <c r="F103" s="38"/>
      <c r="G103" s="38"/>
    </row>
    <row r="104" spans="1:7" x14ac:dyDescent="0.3">
      <c r="A104" s="38"/>
      <c r="B104" s="38"/>
      <c r="C104" s="38"/>
      <c r="D104" s="38"/>
      <c r="E104" s="38"/>
      <c r="F104" s="38"/>
      <c r="G104" s="38"/>
    </row>
    <row r="105" spans="1:7" x14ac:dyDescent="0.3">
      <c r="A105" s="38"/>
      <c r="B105" s="38"/>
      <c r="C105" s="38"/>
      <c r="D105" s="38"/>
      <c r="E105" s="38"/>
      <c r="F105" s="38"/>
      <c r="G105" s="38"/>
    </row>
    <row r="106" spans="1:7" x14ac:dyDescent="0.3">
      <c r="A106" s="39"/>
      <c r="B106" s="39"/>
      <c r="C106" s="39"/>
      <c r="D106" s="39"/>
      <c r="E106" s="39"/>
      <c r="F106" s="39"/>
      <c r="G106" s="39"/>
    </row>
  </sheetData>
  <mergeCells count="1">
    <mergeCell ref="A1:G1"/>
  </mergeCells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Normal="100" workbookViewId="0">
      <selection activeCell="O6" sqref="O6"/>
    </sheetView>
  </sheetViews>
  <sheetFormatPr defaultColWidth="9.140625" defaultRowHeight="18.75" x14ac:dyDescent="0.3"/>
  <cols>
    <col min="1" max="1" width="5.5703125" style="1" customWidth="1"/>
    <col min="2" max="2" width="26.7109375" style="1" customWidth="1"/>
    <col min="3" max="8" width="7.7109375" style="1" bestFit="1" customWidth="1"/>
    <col min="9" max="16384" width="9.140625" style="1"/>
  </cols>
  <sheetData>
    <row r="1" spans="1:10" x14ac:dyDescent="0.3">
      <c r="A1" s="97" t="s">
        <v>33</v>
      </c>
      <c r="B1" s="97"/>
      <c r="C1" s="97"/>
      <c r="D1" s="97"/>
      <c r="E1" s="97"/>
      <c r="F1" s="97"/>
      <c r="G1" s="97"/>
      <c r="H1" s="97"/>
      <c r="I1" s="97"/>
    </row>
    <row r="3" spans="1:10" s="2" customFormat="1" x14ac:dyDescent="0.3">
      <c r="A3" s="43" t="s">
        <v>23</v>
      </c>
      <c r="B3" s="43" t="s">
        <v>24</v>
      </c>
      <c r="C3" s="43" t="s">
        <v>25</v>
      </c>
      <c r="D3" s="43" t="s">
        <v>26</v>
      </c>
      <c r="E3" s="43" t="s">
        <v>27</v>
      </c>
      <c r="F3" s="43" t="s">
        <v>28</v>
      </c>
      <c r="G3" s="43" t="s">
        <v>29</v>
      </c>
      <c r="H3" s="43" t="s">
        <v>30</v>
      </c>
      <c r="I3" s="43" t="s">
        <v>31</v>
      </c>
      <c r="J3" s="43" t="s">
        <v>32</v>
      </c>
    </row>
    <row r="4" spans="1:10" ht="24" customHeight="1" x14ac:dyDescent="0.3">
      <c r="A4" s="41">
        <v>1</v>
      </c>
      <c r="B4" s="40"/>
      <c r="C4" s="40"/>
      <c r="D4" s="40"/>
      <c r="E4" s="40"/>
      <c r="F4" s="40"/>
      <c r="G4" s="40"/>
      <c r="H4" s="40"/>
      <c r="I4" s="40"/>
      <c r="J4" s="40"/>
    </row>
    <row r="5" spans="1:10" ht="24" customHeight="1" x14ac:dyDescent="0.3">
      <c r="A5" s="42">
        <v>2</v>
      </c>
      <c r="B5" s="38"/>
      <c r="C5" s="38"/>
      <c r="D5" s="38"/>
      <c r="E5" s="38"/>
      <c r="F5" s="38"/>
      <c r="G5" s="38"/>
      <c r="H5" s="38"/>
      <c r="I5" s="38"/>
      <c r="J5" s="40"/>
    </row>
    <row r="6" spans="1:10" ht="24" customHeight="1" x14ac:dyDescent="0.3">
      <c r="A6" s="41">
        <v>3</v>
      </c>
      <c r="B6" s="38"/>
      <c r="C6" s="38"/>
      <c r="D6" s="38"/>
      <c r="E6" s="38"/>
      <c r="F6" s="38"/>
      <c r="G6" s="38"/>
      <c r="H6" s="38"/>
      <c r="I6" s="38"/>
      <c r="J6" s="40"/>
    </row>
    <row r="7" spans="1:10" ht="24" customHeight="1" x14ac:dyDescent="0.3">
      <c r="A7" s="42">
        <v>4</v>
      </c>
      <c r="B7" s="38"/>
      <c r="C7" s="38"/>
      <c r="D7" s="38"/>
      <c r="E7" s="38"/>
      <c r="F7" s="38"/>
      <c r="G7" s="38"/>
      <c r="H7" s="38"/>
      <c r="I7" s="38"/>
      <c r="J7" s="40"/>
    </row>
    <row r="8" spans="1:10" ht="24" customHeight="1" x14ac:dyDescent="0.3">
      <c r="A8" s="41">
        <v>5</v>
      </c>
      <c r="B8" s="38"/>
      <c r="C8" s="38"/>
      <c r="D8" s="38"/>
      <c r="E8" s="38"/>
      <c r="F8" s="38"/>
      <c r="G8" s="38"/>
      <c r="H8" s="38"/>
      <c r="I8" s="38"/>
      <c r="J8" s="40"/>
    </row>
    <row r="9" spans="1:10" ht="24" customHeight="1" x14ac:dyDescent="0.3">
      <c r="A9" s="42">
        <v>6</v>
      </c>
      <c r="B9" s="38"/>
      <c r="C9" s="38"/>
      <c r="D9" s="38"/>
      <c r="E9" s="38"/>
      <c r="F9" s="38"/>
      <c r="G9" s="38"/>
      <c r="H9" s="38"/>
      <c r="I9" s="38"/>
      <c r="J9" s="40"/>
    </row>
    <row r="10" spans="1:10" ht="24" customHeight="1" x14ac:dyDescent="0.3">
      <c r="A10" s="41">
        <v>7</v>
      </c>
      <c r="B10" s="38"/>
      <c r="C10" s="38"/>
      <c r="D10" s="38"/>
      <c r="E10" s="38"/>
      <c r="F10" s="38"/>
      <c r="G10" s="38"/>
      <c r="H10" s="38"/>
      <c r="I10" s="38"/>
      <c r="J10" s="40"/>
    </row>
    <row r="11" spans="1:10" ht="24" customHeight="1" x14ac:dyDescent="0.3">
      <c r="A11" s="42">
        <v>8</v>
      </c>
      <c r="B11" s="38"/>
      <c r="C11" s="38"/>
      <c r="D11" s="38"/>
      <c r="E11" s="38"/>
      <c r="F11" s="38"/>
      <c r="G11" s="38"/>
      <c r="H11" s="38"/>
      <c r="I11" s="38"/>
      <c r="J11" s="40"/>
    </row>
    <row r="12" spans="1:10" ht="24" customHeight="1" x14ac:dyDescent="0.3">
      <c r="A12" s="41">
        <v>9</v>
      </c>
      <c r="B12" s="38"/>
      <c r="C12" s="38"/>
      <c r="D12" s="38"/>
      <c r="E12" s="38"/>
      <c r="F12" s="38"/>
      <c r="G12" s="38"/>
      <c r="H12" s="38"/>
      <c r="I12" s="38"/>
      <c r="J12" s="40"/>
    </row>
    <row r="13" spans="1:10" ht="24" customHeight="1" x14ac:dyDescent="0.3">
      <c r="A13" s="42">
        <v>10</v>
      </c>
      <c r="B13" s="38"/>
      <c r="C13" s="38"/>
      <c r="D13" s="38"/>
      <c r="E13" s="38"/>
      <c r="F13" s="38"/>
      <c r="G13" s="38"/>
      <c r="H13" s="38"/>
      <c r="I13" s="38"/>
      <c r="J13" s="40"/>
    </row>
    <row r="14" spans="1:10" ht="24" customHeight="1" x14ac:dyDescent="0.3">
      <c r="A14" s="41">
        <v>11</v>
      </c>
      <c r="B14" s="38"/>
      <c r="C14" s="38"/>
      <c r="D14" s="38"/>
      <c r="E14" s="38"/>
      <c r="F14" s="38"/>
      <c r="G14" s="38"/>
      <c r="H14" s="38"/>
      <c r="I14" s="38"/>
      <c r="J14" s="40"/>
    </row>
    <row r="15" spans="1:10" ht="24" customHeight="1" x14ac:dyDescent="0.3">
      <c r="A15" s="42">
        <v>12</v>
      </c>
      <c r="B15" s="38"/>
      <c r="C15" s="38"/>
      <c r="D15" s="38"/>
      <c r="E15" s="38"/>
      <c r="F15" s="38"/>
      <c r="G15" s="38"/>
      <c r="H15" s="38"/>
      <c r="I15" s="38"/>
      <c r="J15" s="40"/>
    </row>
    <row r="16" spans="1:10" ht="24" customHeight="1" x14ac:dyDescent="0.3">
      <c r="A16" s="41">
        <v>13</v>
      </c>
      <c r="B16" s="38"/>
      <c r="C16" s="38"/>
      <c r="D16" s="38"/>
      <c r="E16" s="38"/>
      <c r="F16" s="38"/>
      <c r="G16" s="38"/>
      <c r="H16" s="38"/>
      <c r="I16" s="38"/>
      <c r="J16" s="40"/>
    </row>
    <row r="17" spans="1:10" ht="24" customHeight="1" x14ac:dyDescent="0.3">
      <c r="A17" s="42">
        <v>14</v>
      </c>
      <c r="B17" s="38"/>
      <c r="C17" s="38"/>
      <c r="D17" s="38"/>
      <c r="E17" s="38"/>
      <c r="F17" s="38"/>
      <c r="G17" s="38"/>
      <c r="H17" s="38"/>
      <c r="I17" s="38"/>
      <c r="J17" s="40"/>
    </row>
    <row r="18" spans="1:10" ht="24" customHeight="1" x14ac:dyDescent="0.3">
      <c r="A18" s="41">
        <v>15</v>
      </c>
      <c r="B18" s="38"/>
      <c r="C18" s="38"/>
      <c r="D18" s="38"/>
      <c r="E18" s="38"/>
      <c r="F18" s="38"/>
      <c r="G18" s="38"/>
      <c r="H18" s="38"/>
      <c r="I18" s="38"/>
      <c r="J18" s="40"/>
    </row>
    <row r="19" spans="1:10" ht="24" customHeight="1" x14ac:dyDescent="0.3">
      <c r="A19" s="42">
        <v>16</v>
      </c>
      <c r="B19" s="38"/>
      <c r="C19" s="38"/>
      <c r="D19" s="38"/>
      <c r="E19" s="38"/>
      <c r="F19" s="38"/>
      <c r="G19" s="38"/>
      <c r="H19" s="38"/>
      <c r="I19" s="38"/>
      <c r="J19" s="40"/>
    </row>
    <row r="20" spans="1:10" ht="24" customHeight="1" x14ac:dyDescent="0.3">
      <c r="A20" s="41">
        <v>17</v>
      </c>
      <c r="B20" s="38"/>
      <c r="C20" s="38"/>
      <c r="D20" s="38"/>
      <c r="E20" s="38"/>
      <c r="F20" s="38"/>
      <c r="G20" s="38"/>
      <c r="H20" s="38"/>
      <c r="I20" s="38"/>
      <c r="J20" s="40"/>
    </row>
    <row r="21" spans="1:10" ht="24" customHeight="1" x14ac:dyDescent="0.3">
      <c r="A21" s="42">
        <v>18</v>
      </c>
      <c r="B21" s="38"/>
      <c r="C21" s="38"/>
      <c r="D21" s="38"/>
      <c r="E21" s="38"/>
      <c r="F21" s="38"/>
      <c r="G21" s="38"/>
      <c r="H21" s="38"/>
      <c r="I21" s="38"/>
      <c r="J21" s="40"/>
    </row>
    <row r="22" spans="1:10" ht="24" customHeight="1" x14ac:dyDescent="0.3">
      <c r="A22" s="41">
        <v>19</v>
      </c>
      <c r="B22" s="38"/>
      <c r="C22" s="38"/>
      <c r="D22" s="38"/>
      <c r="E22" s="38"/>
      <c r="F22" s="38"/>
      <c r="G22" s="38"/>
      <c r="H22" s="38"/>
      <c r="I22" s="38"/>
      <c r="J22" s="40"/>
    </row>
    <row r="23" spans="1:10" ht="24" customHeight="1" x14ac:dyDescent="0.3">
      <c r="A23" s="42">
        <v>20</v>
      </c>
      <c r="B23" s="38"/>
      <c r="C23" s="38"/>
      <c r="D23" s="38"/>
      <c r="E23" s="38"/>
      <c r="F23" s="38"/>
      <c r="G23" s="38"/>
      <c r="H23" s="38"/>
      <c r="I23" s="38"/>
      <c r="J23" s="40"/>
    </row>
    <row r="24" spans="1:10" ht="24" customHeight="1" x14ac:dyDescent="0.3">
      <c r="A24" s="41">
        <v>21</v>
      </c>
      <c r="B24" s="38"/>
      <c r="C24" s="38"/>
      <c r="D24" s="38"/>
      <c r="E24" s="38"/>
      <c r="F24" s="38"/>
      <c r="G24" s="38"/>
      <c r="H24" s="38"/>
      <c r="I24" s="38"/>
      <c r="J24" s="40"/>
    </row>
    <row r="25" spans="1:10" ht="24" customHeight="1" x14ac:dyDescent="0.3">
      <c r="A25" s="42">
        <v>22</v>
      </c>
      <c r="B25" s="38"/>
      <c r="C25" s="38"/>
      <c r="D25" s="38"/>
      <c r="E25" s="38"/>
      <c r="F25" s="38"/>
      <c r="G25" s="38"/>
      <c r="H25" s="38"/>
      <c r="I25" s="38"/>
      <c r="J25" s="40"/>
    </row>
    <row r="26" spans="1:10" ht="24" customHeight="1" x14ac:dyDescent="0.3">
      <c r="A26" s="41">
        <v>23</v>
      </c>
      <c r="B26" s="38"/>
      <c r="C26" s="38"/>
      <c r="D26" s="38"/>
      <c r="E26" s="38"/>
      <c r="F26" s="38"/>
      <c r="G26" s="38"/>
      <c r="H26" s="38"/>
      <c r="I26" s="38"/>
      <c r="J26" s="40"/>
    </row>
    <row r="27" spans="1:10" ht="24" customHeight="1" x14ac:dyDescent="0.3">
      <c r="A27" s="42">
        <v>24</v>
      </c>
      <c r="B27" s="38"/>
      <c r="C27" s="38"/>
      <c r="D27" s="38"/>
      <c r="E27" s="38"/>
      <c r="F27" s="38"/>
      <c r="G27" s="38"/>
      <c r="H27" s="38"/>
      <c r="I27" s="38"/>
      <c r="J27" s="40"/>
    </row>
    <row r="28" spans="1:10" ht="24" customHeight="1" x14ac:dyDescent="0.3">
      <c r="A28" s="41">
        <v>25</v>
      </c>
      <c r="B28" s="38"/>
      <c r="C28" s="38"/>
      <c r="D28" s="38"/>
      <c r="E28" s="38"/>
      <c r="F28" s="38"/>
      <c r="G28" s="38"/>
      <c r="H28" s="38"/>
      <c r="I28" s="38"/>
      <c r="J28" s="40"/>
    </row>
    <row r="29" spans="1:10" ht="24" customHeight="1" x14ac:dyDescent="0.3">
      <c r="A29" s="42">
        <v>26</v>
      </c>
      <c r="B29" s="38"/>
      <c r="C29" s="38"/>
      <c r="D29" s="38"/>
      <c r="E29" s="38"/>
      <c r="F29" s="38"/>
      <c r="G29" s="38"/>
      <c r="H29" s="38"/>
      <c r="I29" s="38"/>
      <c r="J29" s="40"/>
    </row>
    <row r="30" spans="1:10" ht="24" customHeight="1" x14ac:dyDescent="0.3">
      <c r="A30" s="41">
        <v>27</v>
      </c>
      <c r="B30" s="38"/>
      <c r="C30" s="38"/>
      <c r="D30" s="38"/>
      <c r="E30" s="38"/>
      <c r="F30" s="38"/>
      <c r="G30" s="38"/>
      <c r="H30" s="38"/>
      <c r="I30" s="38"/>
      <c r="J30" s="40"/>
    </row>
    <row r="31" spans="1:10" ht="24" customHeight="1" x14ac:dyDescent="0.3">
      <c r="A31" s="42">
        <v>28</v>
      </c>
      <c r="B31" s="38"/>
      <c r="C31" s="38"/>
      <c r="D31" s="38"/>
      <c r="E31" s="38"/>
      <c r="F31" s="38"/>
      <c r="G31" s="38"/>
      <c r="H31" s="38"/>
      <c r="I31" s="38"/>
      <c r="J31" s="40"/>
    </row>
    <row r="32" spans="1:10" ht="24" customHeight="1" x14ac:dyDescent="0.3">
      <c r="A32" s="41">
        <v>29</v>
      </c>
      <c r="B32" s="38"/>
      <c r="C32" s="38"/>
      <c r="D32" s="38"/>
      <c r="E32" s="38"/>
      <c r="F32" s="38"/>
      <c r="G32" s="38"/>
      <c r="H32" s="38"/>
      <c r="I32" s="38"/>
      <c r="J32" s="40"/>
    </row>
    <row r="33" spans="1:10" ht="24" customHeight="1" x14ac:dyDescent="0.3">
      <c r="A33" s="42">
        <v>30</v>
      </c>
      <c r="B33" s="38"/>
      <c r="C33" s="38"/>
      <c r="D33" s="38"/>
      <c r="E33" s="38"/>
      <c r="F33" s="38"/>
      <c r="G33" s="38"/>
      <c r="H33" s="38"/>
      <c r="I33" s="38"/>
      <c r="J33" s="40"/>
    </row>
    <row r="34" spans="1:10" ht="24" customHeight="1" x14ac:dyDescent="0.3">
      <c r="A34" s="41">
        <v>31</v>
      </c>
      <c r="B34" s="38"/>
      <c r="C34" s="38"/>
      <c r="D34" s="38"/>
      <c r="E34" s="38"/>
      <c r="F34" s="38"/>
      <c r="G34" s="38"/>
      <c r="H34" s="38"/>
      <c r="I34" s="38"/>
      <c r="J34" s="40"/>
    </row>
    <row r="35" spans="1:10" ht="24" customHeight="1" x14ac:dyDescent="0.3">
      <c r="A35" s="42">
        <v>32</v>
      </c>
      <c r="B35" s="38"/>
      <c r="C35" s="38"/>
      <c r="D35" s="38"/>
      <c r="E35" s="38"/>
      <c r="F35" s="38"/>
      <c r="G35" s="38"/>
      <c r="H35" s="38"/>
      <c r="I35" s="38"/>
      <c r="J35" s="40"/>
    </row>
    <row r="36" spans="1:10" ht="24" customHeight="1" x14ac:dyDescent="0.3">
      <c r="A36" s="41">
        <v>33</v>
      </c>
      <c r="B36" s="38"/>
      <c r="C36" s="38"/>
      <c r="D36" s="38"/>
      <c r="E36" s="38"/>
      <c r="F36" s="38"/>
      <c r="G36" s="38"/>
      <c r="H36" s="38"/>
      <c r="I36" s="38"/>
      <c r="J36" s="40"/>
    </row>
    <row r="37" spans="1:10" ht="24" customHeight="1" x14ac:dyDescent="0.3">
      <c r="A37" s="42">
        <v>34</v>
      </c>
      <c r="B37" s="38"/>
      <c r="C37" s="38"/>
      <c r="D37" s="38"/>
      <c r="E37" s="38"/>
      <c r="F37" s="38"/>
      <c r="G37" s="38"/>
      <c r="H37" s="38"/>
      <c r="I37" s="38"/>
      <c r="J37" s="40"/>
    </row>
    <row r="38" spans="1:10" ht="24" customHeight="1" x14ac:dyDescent="0.3">
      <c r="A38" s="41">
        <v>35</v>
      </c>
      <c r="B38" s="38"/>
      <c r="C38" s="38"/>
      <c r="D38" s="38"/>
      <c r="E38" s="38"/>
      <c r="F38" s="38"/>
      <c r="G38" s="38"/>
      <c r="H38" s="38"/>
      <c r="I38" s="38"/>
      <c r="J38" s="40"/>
    </row>
    <row r="39" spans="1:10" ht="24" customHeight="1" x14ac:dyDescent="0.3">
      <c r="A39" s="42">
        <v>36</v>
      </c>
      <c r="B39" s="38"/>
      <c r="C39" s="38"/>
      <c r="D39" s="38"/>
      <c r="E39" s="38"/>
      <c r="F39" s="38"/>
      <c r="G39" s="38"/>
      <c r="H39" s="38"/>
      <c r="I39" s="38"/>
      <c r="J39" s="40"/>
    </row>
    <row r="40" spans="1:10" ht="24" customHeight="1" x14ac:dyDescent="0.3">
      <c r="A40" s="41">
        <v>37</v>
      </c>
      <c r="B40" s="38"/>
      <c r="C40" s="38"/>
      <c r="D40" s="38"/>
      <c r="E40" s="38"/>
      <c r="F40" s="38"/>
      <c r="G40" s="38"/>
      <c r="H40" s="38"/>
      <c r="I40" s="38"/>
      <c r="J40" s="40"/>
    </row>
    <row r="41" spans="1:10" ht="24" customHeight="1" x14ac:dyDescent="0.3">
      <c r="A41" s="42">
        <v>38</v>
      </c>
      <c r="B41" s="38"/>
      <c r="C41" s="38"/>
      <c r="D41" s="38"/>
      <c r="E41" s="38"/>
      <c r="F41" s="38"/>
      <c r="G41" s="38"/>
      <c r="H41" s="38"/>
      <c r="I41" s="38"/>
      <c r="J41" s="40"/>
    </row>
    <row r="42" spans="1:10" ht="24" customHeight="1" x14ac:dyDescent="0.3">
      <c r="A42" s="41">
        <v>39</v>
      </c>
      <c r="B42" s="38"/>
      <c r="C42" s="38"/>
      <c r="D42" s="38"/>
      <c r="E42" s="38"/>
      <c r="F42" s="38"/>
      <c r="G42" s="38"/>
      <c r="H42" s="38"/>
      <c r="I42" s="38"/>
      <c r="J42" s="40"/>
    </row>
    <row r="43" spans="1:10" ht="24" customHeight="1" x14ac:dyDescent="0.3">
      <c r="A43" s="42">
        <v>40</v>
      </c>
      <c r="B43" s="38"/>
      <c r="C43" s="38"/>
      <c r="D43" s="38"/>
      <c r="E43" s="38"/>
      <c r="F43" s="38"/>
      <c r="G43" s="38"/>
      <c r="H43" s="38"/>
      <c r="I43" s="38"/>
      <c r="J43" s="40"/>
    </row>
    <row r="44" spans="1:10" ht="24" customHeight="1" x14ac:dyDescent="0.3">
      <c r="A44" s="41">
        <v>41</v>
      </c>
      <c r="B44" s="38"/>
      <c r="C44" s="38"/>
      <c r="D44" s="38"/>
      <c r="E44" s="38"/>
      <c r="F44" s="38"/>
      <c r="G44" s="38"/>
      <c r="H44" s="38"/>
      <c r="I44" s="38"/>
      <c r="J44" s="40"/>
    </row>
    <row r="45" spans="1:10" ht="24" customHeight="1" x14ac:dyDescent="0.3">
      <c r="A45" s="42">
        <v>42</v>
      </c>
      <c r="B45" s="38"/>
      <c r="C45" s="38"/>
      <c r="D45" s="38"/>
      <c r="E45" s="38"/>
      <c r="F45" s="38"/>
      <c r="G45" s="38"/>
      <c r="H45" s="38"/>
      <c r="I45" s="38"/>
      <c r="J45" s="40"/>
    </row>
    <row r="46" spans="1:10" ht="24" customHeight="1" x14ac:dyDescent="0.3">
      <c r="A46" s="41">
        <v>43</v>
      </c>
      <c r="B46" s="38"/>
      <c r="C46" s="38"/>
      <c r="D46" s="38"/>
      <c r="E46" s="38"/>
      <c r="F46" s="38"/>
      <c r="G46" s="38"/>
      <c r="H46" s="38"/>
      <c r="I46" s="38"/>
      <c r="J46" s="40"/>
    </row>
    <row r="47" spans="1:10" ht="24" customHeight="1" x14ac:dyDescent="0.3">
      <c r="A47" s="42">
        <v>44</v>
      </c>
      <c r="B47" s="38"/>
      <c r="C47" s="38"/>
      <c r="D47" s="38"/>
      <c r="E47" s="38"/>
      <c r="F47" s="38"/>
      <c r="G47" s="38"/>
      <c r="H47" s="38"/>
      <c r="I47" s="38"/>
      <c r="J47" s="40"/>
    </row>
    <row r="48" spans="1:10" ht="24" customHeight="1" x14ac:dyDescent="0.3">
      <c r="A48" s="41">
        <v>45</v>
      </c>
      <c r="B48" s="38"/>
      <c r="C48" s="38"/>
      <c r="D48" s="38"/>
      <c r="E48" s="38"/>
      <c r="F48" s="38"/>
      <c r="G48" s="38"/>
      <c r="H48" s="38"/>
      <c r="I48" s="38"/>
      <c r="J48" s="40"/>
    </row>
    <row r="49" spans="1:10" ht="24" customHeight="1" x14ac:dyDescent="0.3">
      <c r="A49" s="42">
        <v>46</v>
      </c>
      <c r="B49" s="38"/>
      <c r="C49" s="38"/>
      <c r="D49" s="38"/>
      <c r="E49" s="38"/>
      <c r="F49" s="38"/>
      <c r="G49" s="38"/>
      <c r="H49" s="38"/>
      <c r="I49" s="38"/>
      <c r="J49" s="40"/>
    </row>
    <row r="50" spans="1:10" ht="24" customHeight="1" x14ac:dyDescent="0.3">
      <c r="A50" s="41">
        <v>47</v>
      </c>
      <c r="B50" s="38"/>
      <c r="C50" s="38"/>
      <c r="D50" s="38"/>
      <c r="E50" s="38"/>
      <c r="F50" s="38"/>
      <c r="G50" s="38"/>
      <c r="H50" s="38"/>
      <c r="I50" s="38"/>
      <c r="J50" s="40"/>
    </row>
    <row r="51" spans="1:10" ht="24" customHeight="1" x14ac:dyDescent="0.3">
      <c r="A51" s="42">
        <v>48</v>
      </c>
      <c r="B51" s="38"/>
      <c r="C51" s="38"/>
      <c r="D51" s="38"/>
      <c r="E51" s="38"/>
      <c r="F51" s="38"/>
      <c r="G51" s="38"/>
      <c r="H51" s="38"/>
      <c r="I51" s="38"/>
      <c r="J51" s="40"/>
    </row>
    <row r="52" spans="1:10" ht="24" customHeight="1" x14ac:dyDescent="0.3">
      <c r="A52" s="41">
        <v>49</v>
      </c>
      <c r="B52" s="38"/>
      <c r="C52" s="38"/>
      <c r="D52" s="38"/>
      <c r="E52" s="38"/>
      <c r="F52" s="38"/>
      <c r="G52" s="38"/>
      <c r="H52" s="38"/>
      <c r="I52" s="38"/>
      <c r="J52" s="40"/>
    </row>
    <row r="53" spans="1:10" ht="24" customHeight="1" x14ac:dyDescent="0.3">
      <c r="A53" s="42">
        <v>50</v>
      </c>
      <c r="B53" s="38"/>
      <c r="C53" s="38"/>
      <c r="D53" s="38"/>
      <c r="E53" s="38"/>
      <c r="F53" s="38"/>
      <c r="G53" s="38"/>
      <c r="H53" s="38"/>
      <c r="I53" s="38"/>
      <c r="J53" s="40"/>
    </row>
    <row r="54" spans="1:10" ht="24" customHeight="1" x14ac:dyDescent="0.3">
      <c r="A54" s="41">
        <v>51</v>
      </c>
      <c r="B54" s="38"/>
      <c r="C54" s="38"/>
      <c r="D54" s="38"/>
      <c r="E54" s="38"/>
      <c r="F54" s="38"/>
      <c r="G54" s="38"/>
      <c r="H54" s="38"/>
      <c r="I54" s="38"/>
      <c r="J54" s="40"/>
    </row>
    <row r="55" spans="1:10" ht="24" customHeight="1" x14ac:dyDescent="0.3">
      <c r="A55" s="42">
        <v>52</v>
      </c>
      <c r="B55" s="38"/>
      <c r="C55" s="38"/>
      <c r="D55" s="38"/>
      <c r="E55" s="38"/>
      <c r="F55" s="38"/>
      <c r="G55" s="38"/>
      <c r="H55" s="38"/>
      <c r="I55" s="38"/>
      <c r="J55" s="40"/>
    </row>
    <row r="56" spans="1:10" ht="24" customHeight="1" x14ac:dyDescent="0.3">
      <c r="A56" s="41">
        <v>53</v>
      </c>
      <c r="B56" s="38"/>
      <c r="C56" s="38"/>
      <c r="D56" s="38"/>
      <c r="E56" s="38"/>
      <c r="F56" s="38"/>
      <c r="G56" s="38"/>
      <c r="H56" s="38"/>
      <c r="I56" s="38"/>
      <c r="J56" s="40"/>
    </row>
    <row r="57" spans="1:10" ht="24" customHeight="1" x14ac:dyDescent="0.3">
      <c r="A57" s="42">
        <v>54</v>
      </c>
      <c r="B57" s="38"/>
      <c r="C57" s="38"/>
      <c r="D57" s="38"/>
      <c r="E57" s="38"/>
      <c r="F57" s="38"/>
      <c r="G57" s="38"/>
      <c r="H57" s="38"/>
      <c r="I57" s="38"/>
      <c r="J57" s="40"/>
    </row>
    <row r="58" spans="1:10" ht="24" customHeight="1" x14ac:dyDescent="0.3">
      <c r="A58" s="41">
        <v>55</v>
      </c>
      <c r="B58" s="38"/>
      <c r="C58" s="38"/>
      <c r="D58" s="38"/>
      <c r="E58" s="38"/>
      <c r="F58" s="38"/>
      <c r="G58" s="38"/>
      <c r="H58" s="38"/>
      <c r="I58" s="38"/>
      <c r="J58" s="40"/>
    </row>
    <row r="59" spans="1:10" ht="24" customHeight="1" x14ac:dyDescent="0.3">
      <c r="A59" s="42">
        <v>56</v>
      </c>
      <c r="B59" s="38"/>
      <c r="C59" s="38"/>
      <c r="D59" s="38"/>
      <c r="E59" s="38"/>
      <c r="F59" s="38"/>
      <c r="G59" s="38"/>
      <c r="H59" s="38"/>
      <c r="I59" s="38"/>
      <c r="J59" s="40"/>
    </row>
    <row r="60" spans="1:10" ht="24" customHeight="1" x14ac:dyDescent="0.3">
      <c r="A60" s="41">
        <v>57</v>
      </c>
      <c r="B60" s="38"/>
      <c r="C60" s="38"/>
      <c r="D60" s="38"/>
      <c r="E60" s="38"/>
      <c r="F60" s="38"/>
      <c r="G60" s="38"/>
      <c r="H60" s="38"/>
      <c r="I60" s="38"/>
      <c r="J60" s="40"/>
    </row>
    <row r="61" spans="1:10" ht="24" customHeight="1" x14ac:dyDescent="0.3">
      <c r="A61" s="42">
        <v>58</v>
      </c>
      <c r="B61" s="38"/>
      <c r="C61" s="38"/>
      <c r="D61" s="38"/>
      <c r="E61" s="38"/>
      <c r="F61" s="38"/>
      <c r="G61" s="38"/>
      <c r="H61" s="38"/>
      <c r="I61" s="38"/>
      <c r="J61" s="40"/>
    </row>
    <row r="62" spans="1:10" ht="24" customHeight="1" x14ac:dyDescent="0.3">
      <c r="A62" s="41">
        <v>59</v>
      </c>
      <c r="B62" s="38"/>
      <c r="C62" s="38"/>
      <c r="D62" s="38"/>
      <c r="E62" s="38"/>
      <c r="F62" s="38"/>
      <c r="G62" s="38"/>
      <c r="H62" s="38"/>
      <c r="I62" s="38"/>
      <c r="J62" s="40"/>
    </row>
    <row r="63" spans="1:10" ht="24" customHeight="1" x14ac:dyDescent="0.3">
      <c r="A63" s="42">
        <v>60</v>
      </c>
      <c r="B63" s="38"/>
      <c r="C63" s="38"/>
      <c r="D63" s="38"/>
      <c r="E63" s="38"/>
      <c r="F63" s="38"/>
      <c r="G63" s="38"/>
      <c r="H63" s="38"/>
      <c r="I63" s="38"/>
      <c r="J63" s="40"/>
    </row>
    <row r="64" spans="1:10" ht="24" customHeight="1" x14ac:dyDescent="0.3">
      <c r="A64" s="41">
        <v>61</v>
      </c>
      <c r="B64" s="38"/>
      <c r="C64" s="38"/>
      <c r="D64" s="38"/>
      <c r="E64" s="38"/>
      <c r="F64" s="38"/>
      <c r="G64" s="38"/>
      <c r="H64" s="38"/>
      <c r="I64" s="38"/>
      <c r="J64" s="40"/>
    </row>
    <row r="65" spans="1:10" ht="24" customHeight="1" x14ac:dyDescent="0.3">
      <c r="A65" s="42">
        <v>62</v>
      </c>
      <c r="B65" s="38"/>
      <c r="C65" s="38"/>
      <c r="D65" s="38"/>
      <c r="E65" s="38"/>
      <c r="F65" s="38"/>
      <c r="G65" s="38"/>
      <c r="H65" s="38"/>
      <c r="I65" s="38"/>
      <c r="J65" s="40"/>
    </row>
    <row r="66" spans="1:10" ht="24" customHeight="1" x14ac:dyDescent="0.3">
      <c r="A66" s="41">
        <v>63</v>
      </c>
      <c r="B66" s="38"/>
      <c r="C66" s="38"/>
      <c r="D66" s="38"/>
      <c r="E66" s="38"/>
      <c r="F66" s="38"/>
      <c r="G66" s="38"/>
      <c r="H66" s="38"/>
      <c r="I66" s="38"/>
      <c r="J66" s="40"/>
    </row>
    <row r="67" spans="1:10" ht="24" customHeight="1" x14ac:dyDescent="0.3">
      <c r="A67" s="42">
        <v>64</v>
      </c>
      <c r="B67" s="38"/>
      <c r="C67" s="38"/>
      <c r="D67" s="38"/>
      <c r="E67" s="38"/>
      <c r="F67" s="38"/>
      <c r="G67" s="38"/>
      <c r="H67" s="38"/>
      <c r="I67" s="38"/>
      <c r="J67" s="40"/>
    </row>
    <row r="68" spans="1:10" ht="24" customHeight="1" x14ac:dyDescent="0.3">
      <c r="A68" s="41">
        <v>65</v>
      </c>
      <c r="B68" s="38"/>
      <c r="C68" s="38"/>
      <c r="D68" s="38"/>
      <c r="E68" s="38"/>
      <c r="F68" s="38"/>
      <c r="G68" s="38"/>
      <c r="H68" s="38"/>
      <c r="I68" s="38"/>
      <c r="J68" s="40"/>
    </row>
    <row r="69" spans="1:10" ht="24" customHeight="1" x14ac:dyDescent="0.3">
      <c r="A69" s="42">
        <v>66</v>
      </c>
      <c r="B69" s="38"/>
      <c r="C69" s="38"/>
      <c r="D69" s="38"/>
      <c r="E69" s="38"/>
      <c r="F69" s="38"/>
      <c r="G69" s="38"/>
      <c r="H69" s="38"/>
      <c r="I69" s="38"/>
      <c r="J69" s="40"/>
    </row>
    <row r="70" spans="1:10" ht="24" customHeight="1" x14ac:dyDescent="0.3">
      <c r="A70" s="41">
        <v>67</v>
      </c>
      <c r="B70" s="38"/>
      <c r="C70" s="38"/>
      <c r="D70" s="38"/>
      <c r="E70" s="38"/>
      <c r="F70" s="38"/>
      <c r="G70" s="38"/>
      <c r="H70" s="38"/>
      <c r="I70" s="38"/>
      <c r="J70" s="40"/>
    </row>
    <row r="71" spans="1:10" ht="24" customHeight="1" x14ac:dyDescent="0.3">
      <c r="A71" s="42">
        <v>68</v>
      </c>
      <c r="B71" s="38"/>
      <c r="C71" s="38"/>
      <c r="D71" s="38"/>
      <c r="E71" s="38"/>
      <c r="F71" s="38"/>
      <c r="G71" s="38"/>
      <c r="H71" s="38"/>
      <c r="I71" s="38"/>
      <c r="J71" s="40"/>
    </row>
    <row r="72" spans="1:10" ht="24" customHeight="1" x14ac:dyDescent="0.3">
      <c r="A72" s="41">
        <v>69</v>
      </c>
      <c r="B72" s="38"/>
      <c r="C72" s="38"/>
      <c r="D72" s="38"/>
      <c r="E72" s="38"/>
      <c r="F72" s="38"/>
      <c r="G72" s="38"/>
      <c r="H72" s="38"/>
      <c r="I72" s="38"/>
      <c r="J72" s="40"/>
    </row>
    <row r="73" spans="1:10" ht="24" customHeight="1" x14ac:dyDescent="0.3">
      <c r="A73" s="42">
        <v>70</v>
      </c>
      <c r="B73" s="38"/>
      <c r="C73" s="38"/>
      <c r="D73" s="38"/>
      <c r="E73" s="38"/>
      <c r="F73" s="38"/>
      <c r="G73" s="38"/>
      <c r="H73" s="38"/>
      <c r="I73" s="38"/>
      <c r="J73" s="40"/>
    </row>
    <row r="74" spans="1:10" ht="24" customHeight="1" x14ac:dyDescent="0.3">
      <c r="A74" s="41">
        <v>71</v>
      </c>
      <c r="B74" s="38"/>
      <c r="C74" s="38"/>
      <c r="D74" s="38"/>
      <c r="E74" s="38"/>
      <c r="F74" s="38"/>
      <c r="G74" s="38"/>
      <c r="H74" s="38"/>
      <c r="I74" s="38"/>
      <c r="J74" s="40"/>
    </row>
    <row r="75" spans="1:10" ht="24" customHeight="1" x14ac:dyDescent="0.3">
      <c r="A75" s="42">
        <v>72</v>
      </c>
      <c r="B75" s="38"/>
      <c r="C75" s="38"/>
      <c r="D75" s="38"/>
      <c r="E75" s="38"/>
      <c r="F75" s="38"/>
      <c r="G75" s="38"/>
      <c r="H75" s="38"/>
      <c r="I75" s="38"/>
      <c r="J75" s="40"/>
    </row>
    <row r="76" spans="1:10" ht="24" customHeight="1" x14ac:dyDescent="0.3">
      <c r="A76" s="41">
        <v>73</v>
      </c>
      <c r="B76" s="38"/>
      <c r="C76" s="38"/>
      <c r="D76" s="38"/>
      <c r="E76" s="38"/>
      <c r="F76" s="38"/>
      <c r="G76" s="38"/>
      <c r="H76" s="38"/>
      <c r="I76" s="38"/>
      <c r="J76" s="40"/>
    </row>
    <row r="77" spans="1:10" ht="24" customHeight="1" x14ac:dyDescent="0.3">
      <c r="A77" s="42">
        <v>74</v>
      </c>
      <c r="B77" s="38"/>
      <c r="C77" s="38"/>
      <c r="D77" s="38"/>
      <c r="E77" s="38"/>
      <c r="F77" s="38"/>
      <c r="G77" s="38"/>
      <c r="H77" s="38"/>
      <c r="I77" s="38"/>
      <c r="J77" s="40"/>
    </row>
    <row r="78" spans="1:10" x14ac:dyDescent="0.3">
      <c r="A78" s="41">
        <v>75</v>
      </c>
      <c r="B78" s="38"/>
      <c r="C78" s="38"/>
      <c r="D78" s="38"/>
      <c r="E78" s="38"/>
      <c r="F78" s="38"/>
      <c r="G78" s="38"/>
      <c r="H78" s="38"/>
      <c r="I78" s="38"/>
      <c r="J78" s="40"/>
    </row>
    <row r="79" spans="1:10" x14ac:dyDescent="0.3">
      <c r="A79" s="42">
        <v>76</v>
      </c>
      <c r="B79" s="38"/>
      <c r="C79" s="38"/>
      <c r="D79" s="38"/>
      <c r="E79" s="38"/>
      <c r="F79" s="38"/>
      <c r="G79" s="38"/>
      <c r="H79" s="38"/>
      <c r="I79" s="38"/>
      <c r="J79" s="40"/>
    </row>
    <row r="80" spans="1:10" x14ac:dyDescent="0.3">
      <c r="A80" s="41">
        <v>77</v>
      </c>
      <c r="B80" s="38"/>
      <c r="C80" s="38"/>
      <c r="D80" s="38"/>
      <c r="E80" s="38"/>
      <c r="F80" s="38"/>
      <c r="G80" s="38"/>
      <c r="H80" s="38"/>
      <c r="I80" s="38"/>
      <c r="J80" s="40"/>
    </row>
    <row r="81" spans="1:10" x14ac:dyDescent="0.3">
      <c r="A81" s="42">
        <v>78</v>
      </c>
      <c r="B81" s="38"/>
      <c r="C81" s="38"/>
      <c r="D81" s="38"/>
      <c r="E81" s="38"/>
      <c r="F81" s="38"/>
      <c r="G81" s="38"/>
      <c r="H81" s="38"/>
      <c r="I81" s="38"/>
      <c r="J81" s="40"/>
    </row>
    <row r="82" spans="1:10" x14ac:dyDescent="0.3">
      <c r="A82" s="41">
        <v>79</v>
      </c>
      <c r="B82" s="38"/>
      <c r="C82" s="38"/>
      <c r="D82" s="38"/>
      <c r="E82" s="38"/>
      <c r="F82" s="38"/>
      <c r="G82" s="38"/>
      <c r="H82" s="38"/>
      <c r="I82" s="38"/>
      <c r="J82" s="40"/>
    </row>
    <row r="83" spans="1:10" x14ac:dyDescent="0.3">
      <c r="A83" s="42">
        <v>80</v>
      </c>
      <c r="B83" s="38"/>
      <c r="C83" s="38"/>
      <c r="D83" s="38"/>
      <c r="E83" s="38"/>
      <c r="F83" s="38"/>
      <c r="G83" s="38"/>
      <c r="H83" s="38"/>
      <c r="I83" s="38"/>
      <c r="J83" s="40"/>
    </row>
    <row r="84" spans="1:10" x14ac:dyDescent="0.3">
      <c r="A84" s="41">
        <v>81</v>
      </c>
      <c r="B84" s="38"/>
      <c r="C84" s="38"/>
      <c r="D84" s="38"/>
      <c r="E84" s="38"/>
      <c r="F84" s="38"/>
      <c r="G84" s="38"/>
      <c r="H84" s="38"/>
      <c r="I84" s="38"/>
      <c r="J84" s="40"/>
    </row>
    <row r="85" spans="1:10" x14ac:dyDescent="0.3">
      <c r="A85" s="42">
        <v>82</v>
      </c>
      <c r="B85" s="38"/>
      <c r="C85" s="38"/>
      <c r="D85" s="38"/>
      <c r="E85" s="38"/>
      <c r="F85" s="38"/>
      <c r="G85" s="38"/>
      <c r="H85" s="38"/>
      <c r="I85" s="38"/>
      <c r="J85" s="40"/>
    </row>
    <row r="86" spans="1:10" x14ac:dyDescent="0.3">
      <c r="A86" s="41">
        <v>83</v>
      </c>
      <c r="B86" s="38"/>
      <c r="C86" s="38"/>
      <c r="D86" s="38"/>
      <c r="E86" s="38"/>
      <c r="F86" s="38"/>
      <c r="G86" s="38"/>
      <c r="H86" s="38"/>
      <c r="I86" s="38"/>
      <c r="J86" s="40"/>
    </row>
    <row r="87" spans="1:10" x14ac:dyDescent="0.3">
      <c r="A87" s="42">
        <v>84</v>
      </c>
      <c r="B87" s="38"/>
      <c r="C87" s="38"/>
      <c r="D87" s="38"/>
      <c r="E87" s="38"/>
      <c r="F87" s="38"/>
      <c r="G87" s="38"/>
      <c r="H87" s="38"/>
      <c r="I87" s="38"/>
      <c r="J87" s="40"/>
    </row>
    <row r="88" spans="1:10" x14ac:dyDescent="0.3">
      <c r="A88" s="41">
        <v>85</v>
      </c>
      <c r="B88" s="38"/>
      <c r="C88" s="38"/>
      <c r="D88" s="38"/>
      <c r="E88" s="38"/>
      <c r="F88" s="38"/>
      <c r="G88" s="38"/>
      <c r="H88" s="38"/>
      <c r="I88" s="38"/>
      <c r="J88" s="40"/>
    </row>
    <row r="89" spans="1:10" x14ac:dyDescent="0.3">
      <c r="A89" s="42">
        <v>86</v>
      </c>
      <c r="B89" s="38"/>
      <c r="C89" s="38"/>
      <c r="D89" s="38"/>
      <c r="E89" s="38"/>
      <c r="F89" s="38"/>
      <c r="G89" s="38"/>
      <c r="H89" s="38"/>
      <c r="I89" s="38"/>
      <c r="J89" s="40"/>
    </row>
    <row r="90" spans="1:10" x14ac:dyDescent="0.3">
      <c r="A90" s="41">
        <v>87</v>
      </c>
      <c r="B90" s="38"/>
      <c r="C90" s="38"/>
      <c r="D90" s="38"/>
      <c r="E90" s="38"/>
      <c r="F90" s="38"/>
      <c r="G90" s="38"/>
      <c r="H90" s="38"/>
      <c r="I90" s="38"/>
      <c r="J90" s="40"/>
    </row>
    <row r="91" spans="1:10" x14ac:dyDescent="0.3">
      <c r="A91" s="42">
        <v>88</v>
      </c>
      <c r="B91" s="38"/>
      <c r="C91" s="38"/>
      <c r="D91" s="38"/>
      <c r="E91" s="38"/>
      <c r="F91" s="38"/>
      <c r="G91" s="38"/>
      <c r="H91" s="38"/>
      <c r="I91" s="38"/>
      <c r="J91" s="40"/>
    </row>
    <row r="92" spans="1:10" x14ac:dyDescent="0.3">
      <c r="A92" s="41">
        <v>89</v>
      </c>
      <c r="B92" s="38"/>
      <c r="C92" s="38"/>
      <c r="D92" s="38"/>
      <c r="E92" s="38"/>
      <c r="F92" s="38"/>
      <c r="G92" s="38"/>
      <c r="H92" s="38"/>
      <c r="I92" s="38"/>
      <c r="J92" s="40"/>
    </row>
    <row r="93" spans="1:10" x14ac:dyDescent="0.3">
      <c r="A93" s="42">
        <v>90</v>
      </c>
      <c r="B93" s="38"/>
      <c r="C93" s="38"/>
      <c r="D93" s="38"/>
      <c r="E93" s="38"/>
      <c r="F93" s="38"/>
      <c r="G93" s="38"/>
      <c r="H93" s="38"/>
      <c r="I93" s="38"/>
      <c r="J93" s="40"/>
    </row>
    <row r="94" spans="1:10" x14ac:dyDescent="0.3">
      <c r="A94" s="41">
        <v>91</v>
      </c>
      <c r="B94" s="38"/>
      <c r="C94" s="38"/>
      <c r="D94" s="38"/>
      <c r="E94" s="38"/>
      <c r="F94" s="38"/>
      <c r="G94" s="38"/>
      <c r="H94" s="38"/>
      <c r="I94" s="38"/>
      <c r="J94" s="40"/>
    </row>
    <row r="95" spans="1:10" x14ac:dyDescent="0.3">
      <c r="A95" s="42">
        <v>92</v>
      </c>
      <c r="B95" s="38"/>
      <c r="C95" s="38"/>
      <c r="D95" s="38"/>
      <c r="E95" s="38"/>
      <c r="F95" s="38"/>
      <c r="G95" s="38"/>
      <c r="H95" s="38"/>
      <c r="I95" s="38"/>
      <c r="J95" s="40"/>
    </row>
    <row r="96" spans="1:10" x14ac:dyDescent="0.3">
      <c r="A96" s="41">
        <v>93</v>
      </c>
      <c r="B96" s="38"/>
      <c r="C96" s="38"/>
      <c r="D96" s="38"/>
      <c r="E96" s="38"/>
      <c r="F96" s="38"/>
      <c r="G96" s="38"/>
      <c r="H96" s="38"/>
      <c r="I96" s="38"/>
      <c r="J96" s="40"/>
    </row>
    <row r="97" spans="1:10" x14ac:dyDescent="0.3">
      <c r="A97" s="42">
        <v>94</v>
      </c>
      <c r="B97" s="38"/>
      <c r="C97" s="38"/>
      <c r="D97" s="38"/>
      <c r="E97" s="38"/>
      <c r="F97" s="38"/>
      <c r="G97" s="38"/>
      <c r="H97" s="38"/>
      <c r="I97" s="38"/>
      <c r="J97" s="40"/>
    </row>
    <row r="98" spans="1:10" x14ac:dyDescent="0.3">
      <c r="A98" s="41">
        <v>95</v>
      </c>
      <c r="B98" s="38"/>
      <c r="C98" s="38"/>
      <c r="D98" s="38"/>
      <c r="E98" s="38"/>
      <c r="F98" s="38"/>
      <c r="G98" s="38"/>
      <c r="H98" s="38"/>
      <c r="I98" s="38"/>
      <c r="J98" s="40"/>
    </row>
    <row r="99" spans="1:10" x14ac:dyDescent="0.3">
      <c r="A99" s="42">
        <v>96</v>
      </c>
      <c r="B99" s="38"/>
      <c r="C99" s="38"/>
      <c r="D99" s="38"/>
      <c r="E99" s="38"/>
      <c r="F99" s="38"/>
      <c r="G99" s="38"/>
      <c r="H99" s="38"/>
      <c r="I99" s="38"/>
      <c r="J99" s="40"/>
    </row>
    <row r="100" spans="1:10" x14ac:dyDescent="0.3">
      <c r="A100" s="41">
        <v>97</v>
      </c>
      <c r="B100" s="38"/>
      <c r="C100" s="38"/>
      <c r="D100" s="38"/>
      <c r="E100" s="38"/>
      <c r="F100" s="38"/>
      <c r="G100" s="38"/>
      <c r="H100" s="38"/>
      <c r="I100" s="38"/>
      <c r="J100" s="40"/>
    </row>
    <row r="101" spans="1:10" x14ac:dyDescent="0.3">
      <c r="A101" s="38"/>
      <c r="B101" s="38"/>
      <c r="C101" s="38"/>
      <c r="D101" s="38"/>
      <c r="E101" s="38"/>
      <c r="F101" s="38"/>
      <c r="G101" s="38"/>
      <c r="H101" s="38"/>
      <c r="I101" s="38"/>
      <c r="J101" s="40"/>
    </row>
    <row r="102" spans="1:10" x14ac:dyDescent="0.3">
      <c r="A102" s="38"/>
      <c r="B102" s="38"/>
      <c r="C102" s="38"/>
      <c r="D102" s="38"/>
      <c r="E102" s="38"/>
      <c r="F102" s="38"/>
      <c r="G102" s="38"/>
      <c r="H102" s="38"/>
      <c r="I102" s="38"/>
      <c r="J102" s="40"/>
    </row>
    <row r="103" spans="1:10" x14ac:dyDescent="0.3">
      <c r="A103" s="38"/>
      <c r="B103" s="38"/>
      <c r="C103" s="38"/>
      <c r="D103" s="38"/>
      <c r="E103" s="38"/>
      <c r="F103" s="38"/>
      <c r="G103" s="38"/>
      <c r="H103" s="38"/>
      <c r="I103" s="38"/>
      <c r="J103" s="40"/>
    </row>
    <row r="104" spans="1:10" x14ac:dyDescent="0.3">
      <c r="A104" s="38"/>
      <c r="B104" s="38"/>
      <c r="C104" s="38"/>
      <c r="D104" s="38"/>
      <c r="E104" s="38"/>
      <c r="F104" s="38"/>
      <c r="G104" s="38"/>
      <c r="H104" s="38"/>
      <c r="I104" s="38"/>
      <c r="J104" s="40"/>
    </row>
    <row r="105" spans="1:10" x14ac:dyDescent="0.3">
      <c r="A105" s="38"/>
      <c r="B105" s="38"/>
      <c r="C105" s="38"/>
      <c r="D105" s="38"/>
      <c r="E105" s="38"/>
      <c r="F105" s="38"/>
      <c r="G105" s="38"/>
      <c r="H105" s="38"/>
      <c r="I105" s="38"/>
      <c r="J105" s="40"/>
    </row>
    <row r="106" spans="1:10" x14ac:dyDescent="0.3">
      <c r="A106" s="39"/>
      <c r="B106" s="39"/>
      <c r="C106" s="39"/>
      <c r="D106" s="39"/>
      <c r="E106" s="39"/>
      <c r="F106" s="39"/>
      <c r="G106" s="39"/>
      <c r="H106" s="39"/>
      <c r="I106" s="39"/>
      <c r="J106" s="40"/>
    </row>
  </sheetData>
  <mergeCells count="1">
    <mergeCell ref="A1:I1"/>
  </mergeCells>
  <phoneticPr fontId="6" type="noConversion"/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8"/>
  <sheetViews>
    <sheetView view="pageBreakPreview" zoomScaleNormal="100" zoomScaleSheetLayoutView="100" workbookViewId="0">
      <pane ySplit="2" topLeftCell="A12" activePane="bottomLeft" state="frozen"/>
      <selection pane="bottomLeft" activeCell="C11" sqref="C11"/>
    </sheetView>
  </sheetViews>
  <sheetFormatPr defaultColWidth="9.140625" defaultRowHeight="18.75" x14ac:dyDescent="0.3"/>
  <cols>
    <col min="1" max="1" width="9.140625" style="1"/>
    <col min="2" max="2" width="24.5703125" style="1" customWidth="1"/>
    <col min="3" max="3" width="20.85546875" style="1" customWidth="1"/>
    <col min="4" max="4" width="22.42578125" style="1" customWidth="1"/>
    <col min="5" max="5" width="18.42578125" style="1" customWidth="1"/>
    <col min="6" max="6" width="20.5703125" style="1" customWidth="1"/>
    <col min="7" max="7" width="22.85546875" style="1" customWidth="1"/>
    <col min="8" max="16384" width="9.140625" style="1"/>
  </cols>
  <sheetData>
    <row r="1" spans="1:15" ht="11.25" customHeight="1" x14ac:dyDescent="0.3"/>
    <row r="2" spans="1:15" ht="22.5" x14ac:dyDescent="0.3">
      <c r="A2" s="98" t="s">
        <v>0</v>
      </c>
      <c r="B2" s="98"/>
      <c r="C2" s="98"/>
      <c r="D2" s="98"/>
      <c r="E2" s="98"/>
      <c r="F2" s="98"/>
      <c r="G2" s="98"/>
    </row>
    <row r="3" spans="1:15" ht="9" customHeight="1" x14ac:dyDescent="0.3"/>
    <row r="4" spans="1:15" s="10" customFormat="1" ht="16.5" x14ac:dyDescent="0.25">
      <c r="A4" s="102"/>
      <c r="B4" s="102"/>
      <c r="C4" s="3"/>
      <c r="F4" s="3" t="str">
        <f>LEFT(C4,15)</f>
        <v/>
      </c>
    </row>
    <row r="5" spans="1:15" s="10" customFormat="1" ht="16.5" x14ac:dyDescent="0.25">
      <c r="A5" s="103"/>
      <c r="B5" s="103"/>
      <c r="C5" s="80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s="10" customFormat="1" ht="16.5" x14ac:dyDescent="0.25"/>
    <row r="7" spans="1:15" s="10" customFormat="1" ht="16.5" x14ac:dyDescent="0.25">
      <c r="B7" s="14"/>
      <c r="C7" s="49" t="s">
        <v>90</v>
      </c>
      <c r="D7" s="33" t="str">
        <f>PROPER(C7)</f>
        <v>Đinh Văn Hùng</v>
      </c>
      <c r="E7" s="14"/>
      <c r="F7" s="14"/>
      <c r="G7" s="54"/>
    </row>
    <row r="8" spans="1:15" s="10" customFormat="1" ht="16.5" x14ac:dyDescent="0.25">
      <c r="B8" s="14" t="s">
        <v>1</v>
      </c>
      <c r="C8" s="55"/>
      <c r="D8" s="14"/>
      <c r="E8" s="14"/>
      <c r="F8" s="14"/>
      <c r="G8" s="14"/>
    </row>
    <row r="9" spans="1:15" s="10" customFormat="1" ht="16.5" x14ac:dyDescent="0.25">
      <c r="B9" s="14" t="s">
        <v>15</v>
      </c>
      <c r="C9" s="81" t="s">
        <v>98</v>
      </c>
      <c r="D9" s="15" t="s">
        <v>14</v>
      </c>
      <c r="E9" s="16"/>
      <c r="F9" s="14" t="s">
        <v>40</v>
      </c>
      <c r="G9" s="54"/>
    </row>
    <row r="10" spans="1:15" s="10" customFormat="1" ht="16.5" x14ac:dyDescent="0.25">
      <c r="B10" s="14" t="s">
        <v>2</v>
      </c>
      <c r="C10" s="16"/>
      <c r="D10" s="14"/>
      <c r="E10" s="78"/>
      <c r="F10" s="14"/>
      <c r="G10" s="14"/>
    </row>
    <row r="11" spans="1:15" s="10" customFormat="1" ht="16.5" x14ac:dyDescent="0.25">
      <c r="B11" s="14"/>
      <c r="C11" s="16" t="s">
        <v>91</v>
      </c>
      <c r="D11" s="14"/>
      <c r="E11" s="79"/>
      <c r="F11" s="14"/>
      <c r="G11" s="14"/>
    </row>
    <row r="12" spans="1:15" s="10" customFormat="1" ht="16.5" x14ac:dyDescent="0.25">
      <c r="B12" s="14" t="s">
        <v>5</v>
      </c>
      <c r="C12" s="16"/>
      <c r="D12" s="15" t="s">
        <v>6</v>
      </c>
      <c r="E12" s="16" t="s">
        <v>16</v>
      </c>
      <c r="F12" s="15" t="s">
        <v>7</v>
      </c>
      <c r="G12" s="16" t="s">
        <v>45</v>
      </c>
    </row>
    <row r="13" spans="1:15" s="10" customFormat="1" ht="16.5" x14ac:dyDescent="0.25">
      <c r="B13" s="14" t="s">
        <v>4</v>
      </c>
      <c r="C13" s="16"/>
      <c r="D13" s="14"/>
      <c r="E13" s="14"/>
      <c r="F13" s="14"/>
      <c r="G13" s="14"/>
    </row>
    <row r="14" spans="1:15" s="10" customFormat="1" ht="16.5" x14ac:dyDescent="0.25">
      <c r="B14" s="14" t="s">
        <v>8</v>
      </c>
      <c r="C14" s="72" t="s">
        <v>98</v>
      </c>
      <c r="D14" s="14"/>
      <c r="E14" s="14"/>
      <c r="F14" s="14"/>
      <c r="G14" s="14"/>
    </row>
    <row r="15" spans="1:15" s="10" customFormat="1" ht="16.5" x14ac:dyDescent="0.25">
      <c r="B15" s="14" t="s">
        <v>41</v>
      </c>
      <c r="C15" s="72" t="s">
        <v>98</v>
      </c>
      <c r="D15" s="14"/>
      <c r="E15" s="14"/>
      <c r="F15" s="14"/>
      <c r="G15" s="14"/>
    </row>
    <row r="16" spans="1:15" s="10" customFormat="1" ht="16.5" x14ac:dyDescent="0.25">
      <c r="B16" s="14" t="s">
        <v>19</v>
      </c>
      <c r="C16" s="45"/>
      <c r="D16" s="14"/>
      <c r="E16" s="99"/>
      <c r="F16" s="100"/>
      <c r="G16" s="101"/>
    </row>
    <row r="17" spans="1:7" s="10" customFormat="1" ht="16.5" x14ac:dyDescent="0.25">
      <c r="B17" s="17"/>
      <c r="C17" s="63"/>
      <c r="D17" s="14"/>
      <c r="E17" s="64"/>
      <c r="F17" s="65"/>
      <c r="G17" s="66"/>
    </row>
    <row r="18" spans="1:7" s="10" customFormat="1" ht="16.5" x14ac:dyDescent="0.25">
      <c r="B18" s="75"/>
      <c r="C18" s="75"/>
      <c r="D18" s="75"/>
      <c r="E18" s="75"/>
      <c r="F18" s="75"/>
      <c r="G18" s="75"/>
    </row>
    <row r="19" spans="1:7" s="10" customFormat="1" ht="16.5" x14ac:dyDescent="0.25">
      <c r="B19" s="76"/>
      <c r="C19" s="76"/>
      <c r="D19" s="77"/>
      <c r="E19" s="76"/>
      <c r="F19" s="76"/>
      <c r="G19" s="77"/>
    </row>
    <row r="20" spans="1:7" s="10" customFormat="1" ht="16.5" x14ac:dyDescent="0.25">
      <c r="B20" s="69" t="s">
        <v>84</v>
      </c>
      <c r="C20" s="69" t="s">
        <v>85</v>
      </c>
      <c r="D20" s="69" t="s">
        <v>86</v>
      </c>
      <c r="E20" s="69" t="s">
        <v>94</v>
      </c>
      <c r="F20" s="76" t="s">
        <v>95</v>
      </c>
      <c r="G20" s="76" t="s">
        <v>96</v>
      </c>
    </row>
    <row r="21" spans="1:7" s="10" customFormat="1" x14ac:dyDescent="0.25">
      <c r="B21" s="69" t="s">
        <v>98</v>
      </c>
      <c r="C21" s="69" t="s">
        <v>98</v>
      </c>
      <c r="D21" s="70" t="s">
        <v>98</v>
      </c>
      <c r="E21" s="71" t="s">
        <v>98</v>
      </c>
      <c r="F21" s="76" t="s">
        <v>98</v>
      </c>
      <c r="G21" s="94"/>
    </row>
    <row r="22" spans="1:7" x14ac:dyDescent="0.3">
      <c r="B22" s="6"/>
      <c r="C22" s="5"/>
      <c r="D22" s="4"/>
      <c r="E22" s="67"/>
      <c r="F22" s="68"/>
      <c r="G22" s="68"/>
    </row>
    <row r="23" spans="1:7" x14ac:dyDescent="0.3">
      <c r="B23" s="6"/>
      <c r="C23" s="5"/>
      <c r="D23" s="4"/>
      <c r="E23" s="4"/>
      <c r="F23" s="4"/>
      <c r="G23" s="4"/>
    </row>
    <row r="24" spans="1:7" s="10" customFormat="1" ht="18.75" customHeight="1" x14ac:dyDescent="0.25">
      <c r="A24" s="7"/>
      <c r="B24" s="8"/>
      <c r="C24" s="9"/>
      <c r="D24" s="9"/>
      <c r="E24" s="51"/>
      <c r="F24" s="31"/>
      <c r="G24" s="8"/>
    </row>
    <row r="25" spans="1:7" s="10" customFormat="1" ht="16.5" x14ac:dyDescent="0.25">
      <c r="A25" s="11"/>
      <c r="B25" s="12"/>
      <c r="C25" s="44"/>
      <c r="D25" s="13"/>
      <c r="E25" s="29"/>
      <c r="F25" s="30"/>
      <c r="G25" s="29"/>
    </row>
    <row r="26" spans="1:7" s="10" customFormat="1" ht="16.5" x14ac:dyDescent="0.25">
      <c r="A26" s="11"/>
      <c r="B26" s="12"/>
      <c r="C26" s="44"/>
      <c r="D26" s="12"/>
      <c r="E26" s="12"/>
      <c r="F26" s="31"/>
      <c r="G26" s="31"/>
    </row>
    <row r="27" spans="1:7" s="10" customFormat="1" ht="16.5" x14ac:dyDescent="0.25">
      <c r="A27" s="11"/>
      <c r="B27" s="12"/>
      <c r="C27" s="31"/>
      <c r="D27" s="31"/>
      <c r="E27" s="31"/>
      <c r="F27" s="52"/>
      <c r="G27" s="31"/>
    </row>
    <row r="28" spans="1:7" s="10" customFormat="1" ht="16.5" x14ac:dyDescent="0.25"/>
  </sheetData>
  <mergeCells count="4">
    <mergeCell ref="A2:G2"/>
    <mergeCell ref="E16:G16"/>
    <mergeCell ref="A4:B4"/>
    <mergeCell ref="A5:B5"/>
  </mergeCells>
  <printOptions horizontalCentered="1" verticalCentered="1"/>
  <pageMargins left="0" right="0" top="0.25" bottom="0.2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41"/>
  <sheetViews>
    <sheetView view="pageBreakPreview" topLeftCell="A19" zoomScaleNormal="100" zoomScaleSheetLayoutView="100" workbookViewId="0">
      <selection activeCell="A9" sqref="A9:J9"/>
    </sheetView>
  </sheetViews>
  <sheetFormatPr defaultColWidth="9.140625" defaultRowHeight="15" x14ac:dyDescent="0.25"/>
  <cols>
    <col min="1" max="1" width="12" style="20" customWidth="1"/>
    <col min="2" max="2" width="7.42578125" style="20" customWidth="1"/>
    <col min="3" max="4" width="9.140625" style="20"/>
    <col min="5" max="5" width="6.7109375" style="20" customWidth="1"/>
    <col min="6" max="6" width="7.5703125" style="20" customWidth="1"/>
    <col min="7" max="7" width="10.42578125" style="20" customWidth="1"/>
    <col min="8" max="8" width="10.28515625" style="20" customWidth="1"/>
    <col min="9" max="9" width="11.7109375" style="20" bestFit="1" customWidth="1"/>
    <col min="10" max="16384" width="9.140625" style="20"/>
  </cols>
  <sheetData>
    <row r="1" spans="1:10" ht="18.75" x14ac:dyDescent="0.3">
      <c r="A1" s="105" t="s">
        <v>10</v>
      </c>
      <c r="B1" s="105"/>
      <c r="C1" s="105"/>
      <c r="D1" s="105"/>
      <c r="E1" s="105"/>
      <c r="F1" s="105"/>
      <c r="G1" s="105"/>
      <c r="H1" s="105"/>
      <c r="I1" s="105"/>
      <c r="J1" s="105"/>
    </row>
    <row r="2" spans="1:10" ht="18.75" x14ac:dyDescent="0.3">
      <c r="A2" s="105" t="s">
        <v>43</v>
      </c>
      <c r="B2" s="105"/>
      <c r="C2" s="105"/>
      <c r="D2" s="105"/>
      <c r="E2" s="105"/>
      <c r="F2" s="105"/>
      <c r="G2" s="105"/>
      <c r="H2" s="105"/>
      <c r="I2" s="105"/>
      <c r="J2" s="105"/>
    </row>
    <row r="4" spans="1:10" ht="10.5" customHeight="1" x14ac:dyDescent="0.25"/>
    <row r="5" spans="1:10" ht="18.75" x14ac:dyDescent="0.25">
      <c r="A5" s="106" t="s">
        <v>11</v>
      </c>
      <c r="B5" s="106"/>
      <c r="C5" s="106"/>
      <c r="D5" s="106"/>
      <c r="E5" s="106"/>
      <c r="F5" s="106"/>
      <c r="G5" s="106"/>
      <c r="H5" s="106"/>
      <c r="I5" s="106"/>
      <c r="J5" s="106"/>
    </row>
    <row r="6" spans="1:10" ht="18.75" x14ac:dyDescent="0.3">
      <c r="A6" s="105" t="s">
        <v>46</v>
      </c>
      <c r="B6" s="105"/>
      <c r="C6" s="105"/>
      <c r="D6" s="105"/>
      <c r="E6" s="105"/>
      <c r="F6" s="105"/>
      <c r="G6" s="105"/>
      <c r="H6" s="105"/>
      <c r="I6" s="105"/>
      <c r="J6" s="105"/>
    </row>
    <row r="7" spans="1:10" ht="18.7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ht="34.5" customHeight="1" x14ac:dyDescent="0.25">
      <c r="A8" s="104" t="str">
        <f>"           Hồi ....., giờ..... phút, ngày "&amp;TTCHUNG!C15&amp;" tại Trại tạm giam Công an tỉnh Quảng Ninh."</f>
        <v xml:space="preserve">           Hồi ....., giờ..... phút, ngày  tại Trại tạm giam Công an tỉnh Quảng Ninh.</v>
      </c>
      <c r="B8" s="104"/>
      <c r="C8" s="104"/>
      <c r="D8" s="104"/>
      <c r="E8" s="104"/>
      <c r="F8" s="104"/>
      <c r="G8" s="104"/>
      <c r="H8" s="104"/>
      <c r="I8" s="104"/>
      <c r="J8" s="104"/>
    </row>
    <row r="9" spans="1:10" ht="37.5" customHeight="1" x14ac:dyDescent="0.25">
      <c r="A9" s="104" t="str">
        <f>"         Căn cứ QĐ điều chuyển số "&amp;TTCHUNG!B21 &amp;"  ngày "&amp;TTCHUNG!C21 &amp;" của " &amp;TTCHUNG!D21 &amp;"."</f>
        <v xml:space="preserve">         Căn cứ QĐ điều chuyển số   ngày  của .</v>
      </c>
      <c r="B9" s="104"/>
      <c r="C9" s="104"/>
      <c r="D9" s="104"/>
      <c r="E9" s="104"/>
      <c r="F9" s="104"/>
      <c r="G9" s="104"/>
      <c r="H9" s="104"/>
      <c r="I9" s="104"/>
      <c r="J9" s="104"/>
    </row>
    <row r="10" spans="1:10" ht="18.75" x14ac:dyDescent="0.3">
      <c r="A10" s="19" t="s">
        <v>70</v>
      </c>
      <c r="B10" s="22"/>
      <c r="C10" s="22"/>
      <c r="D10" s="22"/>
      <c r="E10" s="22"/>
      <c r="F10" s="22"/>
      <c r="G10" s="22"/>
      <c r="H10" s="22"/>
      <c r="I10" s="22"/>
      <c r="J10" s="22"/>
    </row>
    <row r="11" spans="1:10" ht="18.75" x14ac:dyDescent="0.3">
      <c r="A11" s="22" t="s">
        <v>71</v>
      </c>
      <c r="B11" s="93" t="str">
        <f>TTCHUNG!E21</f>
        <v/>
      </c>
      <c r="C11" s="22"/>
      <c r="D11" s="22"/>
      <c r="E11" s="22"/>
      <c r="F11" s="22"/>
      <c r="G11" s="22" t="s">
        <v>9</v>
      </c>
      <c r="H11" s="22" t="s">
        <v>89</v>
      </c>
      <c r="I11" s="22"/>
      <c r="J11" s="22"/>
    </row>
    <row r="12" spans="1:10" ht="18.75" x14ac:dyDescent="0.3">
      <c r="A12" s="22" t="s">
        <v>72</v>
      </c>
      <c r="B12" s="93" t="str">
        <f>TTCHUNG!F21</f>
        <v/>
      </c>
      <c r="C12" s="22"/>
      <c r="D12" s="22"/>
      <c r="E12" s="22"/>
      <c r="F12" s="22"/>
      <c r="G12" s="22"/>
      <c r="H12" s="22"/>
      <c r="I12" s="22"/>
      <c r="J12" s="22"/>
    </row>
    <row r="13" spans="1:10" ht="18.75" x14ac:dyDescent="0.3">
      <c r="A13" s="22" t="s">
        <v>73</v>
      </c>
      <c r="B13" s="22"/>
      <c r="C13" s="22">
        <f>TTCHUNG!G21</f>
        <v>0</v>
      </c>
      <c r="E13" s="22"/>
      <c r="F13" s="22"/>
      <c r="G13" s="22"/>
      <c r="H13" s="22"/>
      <c r="I13" s="22"/>
      <c r="J13" s="22"/>
    </row>
    <row r="14" spans="1:10" ht="18.75" x14ac:dyDescent="0.3">
      <c r="A14" s="22" t="s">
        <v>74</v>
      </c>
      <c r="B14" s="22"/>
      <c r="C14" s="22"/>
      <c r="D14" s="22"/>
      <c r="E14" s="22"/>
      <c r="F14" s="22"/>
      <c r="G14" s="22"/>
      <c r="H14" s="22"/>
      <c r="I14" s="22"/>
      <c r="J14" s="22"/>
    </row>
    <row r="15" spans="1:10" ht="18.75" x14ac:dyDescent="0.3">
      <c r="A15" s="19" t="s">
        <v>75</v>
      </c>
      <c r="B15" s="19"/>
      <c r="C15" s="19"/>
      <c r="D15" s="19"/>
      <c r="E15" s="19"/>
      <c r="F15" s="19"/>
      <c r="G15" s="19"/>
      <c r="H15" s="19"/>
      <c r="I15" s="19"/>
      <c r="J15" s="19"/>
    </row>
    <row r="16" spans="1:10" ht="18.75" x14ac:dyDescent="0.3">
      <c r="A16" s="22" t="s">
        <v>76</v>
      </c>
      <c r="B16" s="22" t="s">
        <v>47</v>
      </c>
      <c r="C16" s="22"/>
      <c r="D16" s="22"/>
      <c r="E16" s="22"/>
      <c r="F16" s="22"/>
      <c r="G16" s="22" t="s">
        <v>9</v>
      </c>
      <c r="H16" s="22" t="s">
        <v>89</v>
      </c>
      <c r="I16" s="22"/>
      <c r="J16" s="22"/>
    </row>
    <row r="17" spans="1:10" ht="18.75" x14ac:dyDescent="0.3">
      <c r="A17" s="22" t="s">
        <v>72</v>
      </c>
      <c r="B17" s="22" t="s">
        <v>87</v>
      </c>
      <c r="C17" s="22"/>
      <c r="D17" s="22"/>
      <c r="E17" s="22"/>
      <c r="F17" s="22"/>
      <c r="G17" s="22"/>
      <c r="H17" s="22"/>
      <c r="I17" s="22"/>
      <c r="J17" s="22"/>
    </row>
    <row r="18" spans="1:10" ht="18.75" x14ac:dyDescent="0.3">
      <c r="A18" s="22" t="s">
        <v>73</v>
      </c>
      <c r="B18" s="22"/>
      <c r="C18" s="22" t="s">
        <v>97</v>
      </c>
      <c r="E18" s="22"/>
      <c r="F18" s="22"/>
      <c r="G18" s="22"/>
      <c r="H18" s="22"/>
      <c r="I18" s="22"/>
      <c r="J18" s="22"/>
    </row>
    <row r="19" spans="1:10" ht="18.75" x14ac:dyDescent="0.3">
      <c r="A19" s="22" t="s">
        <v>74</v>
      </c>
      <c r="B19" s="22"/>
      <c r="C19" s="22"/>
      <c r="D19" s="22"/>
      <c r="E19" s="22"/>
      <c r="F19" s="22"/>
      <c r="G19" s="22"/>
      <c r="H19" s="22"/>
      <c r="I19" s="22"/>
      <c r="J19" s="22"/>
    </row>
    <row r="20" spans="1:10" ht="18.75" x14ac:dyDescent="0.3">
      <c r="A20" s="22" t="s">
        <v>77</v>
      </c>
      <c r="B20" s="22"/>
      <c r="C20" s="22"/>
      <c r="D20" s="22"/>
      <c r="E20" s="22"/>
      <c r="F20" s="22"/>
      <c r="G20" s="22"/>
      <c r="H20" s="22"/>
      <c r="I20" s="22"/>
      <c r="J20" s="22"/>
    </row>
    <row r="21" spans="1:10" ht="18.75" x14ac:dyDescent="0.3">
      <c r="A21" s="22" t="str">
        <f>"   Họ và tên: "&amp;TTCHUNG!B7</f>
        <v xml:space="preserve">   Họ và tên: </v>
      </c>
      <c r="B21" s="19"/>
      <c r="C21" s="22"/>
      <c r="D21" s="22"/>
      <c r="E21" s="107" t="s">
        <v>14</v>
      </c>
      <c r="F21" s="107"/>
      <c r="G21" s="22">
        <f>TTCHUNG!E9</f>
        <v>0</v>
      </c>
      <c r="H21" s="50" t="s">
        <v>15</v>
      </c>
      <c r="I21" s="93" t="str">
        <f>TTCHUNG!C9</f>
        <v/>
      </c>
      <c r="J21" s="22"/>
    </row>
    <row r="22" spans="1:10" ht="18.75" x14ac:dyDescent="0.3">
      <c r="A22" s="22" t="s">
        <v>78</v>
      </c>
      <c r="B22" s="22"/>
      <c r="C22" s="22">
        <f>TTCHUNG!C8</f>
        <v>0</v>
      </c>
      <c r="D22" s="22"/>
      <c r="E22" s="22"/>
      <c r="F22" s="22"/>
      <c r="G22" s="22"/>
      <c r="H22" s="22"/>
      <c r="I22" s="22"/>
      <c r="J22" s="22"/>
    </row>
    <row r="23" spans="1:10" ht="18.75" customHeight="1" x14ac:dyDescent="0.3">
      <c r="A23" s="22" t="str">
        <f>"    Nơi ĐKTT: "&amp;TTCHUNG!B11</f>
        <v xml:space="preserve">    Nơi ĐKTT: </v>
      </c>
      <c r="B23" s="37"/>
      <c r="D23" s="22"/>
      <c r="E23" s="22"/>
      <c r="F23" s="22"/>
      <c r="G23" s="22"/>
      <c r="H23" s="50"/>
      <c r="I23" s="22"/>
      <c r="J23" s="22"/>
    </row>
    <row r="24" spans="1:10" ht="18.75" x14ac:dyDescent="0.3">
      <c r="A24" s="22" t="s">
        <v>79</v>
      </c>
      <c r="B24" s="22">
        <f>TTCHUNG!C12</f>
        <v>0</v>
      </c>
      <c r="C24" s="22"/>
      <c r="D24" s="22"/>
      <c r="E24" s="107" t="s">
        <v>6</v>
      </c>
      <c r="F24" s="107"/>
      <c r="G24" s="22" t="str">
        <f>TTCHUNG!E12</f>
        <v>Việt Nam.</v>
      </c>
      <c r="H24" s="50"/>
      <c r="I24" s="22"/>
      <c r="J24" s="22"/>
    </row>
    <row r="25" spans="1:10" ht="18.75" customHeight="1" x14ac:dyDescent="0.35">
      <c r="A25" s="37" t="str">
        <f>"   Hành vi phạm tội: "&amp;TTCHUNG!C13</f>
        <v xml:space="preserve">   Hành vi phạm tội: </v>
      </c>
      <c r="B25" s="22"/>
      <c r="C25" s="73"/>
      <c r="D25" s="73"/>
      <c r="E25" s="73"/>
      <c r="F25" s="73"/>
      <c r="G25" s="73"/>
      <c r="H25" s="73"/>
      <c r="I25" s="73"/>
      <c r="J25" s="73"/>
    </row>
    <row r="26" spans="1:10" ht="18.75" x14ac:dyDescent="0.3">
      <c r="A26" s="22" t="s">
        <v>80</v>
      </c>
      <c r="B26" s="22"/>
      <c r="C26" s="53" t="str">
        <f>TTCHUNG!C14</f>
        <v/>
      </c>
      <c r="D26" s="22"/>
      <c r="E26" s="22"/>
      <c r="F26" s="108" t="s">
        <v>92</v>
      </c>
      <c r="G26" s="108"/>
      <c r="H26" s="108"/>
      <c r="I26" s="108"/>
      <c r="J26" s="108"/>
    </row>
    <row r="27" spans="1:10" ht="18.75" x14ac:dyDescent="0.3">
      <c r="A27" s="22" t="s">
        <v>81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ht="18.75" x14ac:dyDescent="0.25">
      <c r="A28" s="32" t="str">
        <f>"   Hồ sơ tài liệu của: "&amp;TTCHUNG!B7&amp; " gồm       trang, đã bàn giao theo quy định."</f>
        <v xml:space="preserve">   Hồ sơ tài liệu của:  gồm       trang, đã bàn giao theo quy định.</v>
      </c>
      <c r="B28" s="32"/>
      <c r="C28" s="36"/>
      <c r="D28" s="36"/>
      <c r="E28" s="36"/>
      <c r="F28" s="59"/>
      <c r="G28" s="59"/>
      <c r="H28" s="59"/>
      <c r="I28" s="59"/>
    </row>
    <row r="29" spans="1:10" ht="38.25" customHeight="1" x14ac:dyDescent="0.25">
      <c r="A29" s="104" t="str">
        <f>"       Biên bản lập xong hồi ...... giờ....... phút, ngày " &amp;TTCHUNG!C15&amp;", đã đọc lại cho những người có tên trong biên bản nghe, đồng ý với nội dung biên bản và ký tên dưới đây./."</f>
        <v xml:space="preserve">       Biên bản lập xong hồi ...... giờ....... phút, ngày , đã đọc lại cho những người có tên trong biên bản nghe, đồng ý với nội dung biên bản và ký tên dưới đây./.</v>
      </c>
      <c r="B29" s="104"/>
      <c r="C29" s="104"/>
      <c r="D29" s="104"/>
      <c r="E29" s="104"/>
      <c r="F29" s="104"/>
      <c r="G29" s="104"/>
      <c r="H29" s="104"/>
      <c r="I29" s="104"/>
      <c r="J29" s="104"/>
    </row>
    <row r="30" spans="1:10" ht="18.75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</row>
    <row r="31" spans="1:10" ht="18.75" x14ac:dyDescent="0.25">
      <c r="A31" s="111" t="s">
        <v>48</v>
      </c>
      <c r="B31" s="111"/>
      <c r="C31" s="111"/>
      <c r="D31" s="111"/>
      <c r="E31" s="112" t="s">
        <v>49</v>
      </c>
      <c r="F31" s="112"/>
      <c r="G31" s="112"/>
      <c r="H31" s="112" t="s">
        <v>50</v>
      </c>
      <c r="I31" s="112"/>
      <c r="J31" s="112"/>
    </row>
    <row r="32" spans="1:10" x14ac:dyDescent="0.25">
      <c r="A32" s="113" t="s">
        <v>51</v>
      </c>
      <c r="B32" s="113"/>
      <c r="C32" s="113"/>
      <c r="D32" s="113"/>
      <c r="E32" s="113" t="s">
        <v>18</v>
      </c>
      <c r="F32" s="113"/>
      <c r="G32" s="113"/>
      <c r="H32" s="113" t="s">
        <v>18</v>
      </c>
      <c r="I32" s="113"/>
      <c r="J32" s="113"/>
    </row>
    <row r="33" spans="1:10" ht="15.75" x14ac:dyDescent="0.25">
      <c r="H33" s="24"/>
    </row>
    <row r="34" spans="1:10" ht="15.75" x14ac:dyDescent="0.25">
      <c r="H34" s="25"/>
    </row>
    <row r="35" spans="1:10" ht="15.75" x14ac:dyDescent="0.25">
      <c r="H35" s="25"/>
    </row>
    <row r="36" spans="1:10" ht="15.75" x14ac:dyDescent="0.25">
      <c r="H36" s="25"/>
    </row>
    <row r="37" spans="1:10" ht="15.75" x14ac:dyDescent="0.25">
      <c r="H37" s="23"/>
    </row>
    <row r="38" spans="1:10" ht="18.75" x14ac:dyDescent="0.3">
      <c r="A38" s="60" t="s">
        <v>44</v>
      </c>
      <c r="E38" s="109" t="str">
        <f>B11</f>
        <v/>
      </c>
      <c r="F38" s="109"/>
      <c r="G38" s="109"/>
      <c r="H38" s="110" t="str">
        <f>B16</f>
        <v>.................................................................</v>
      </c>
      <c r="I38" s="110"/>
      <c r="J38" s="110"/>
    </row>
    <row r="39" spans="1:10" x14ac:dyDescent="0.25">
      <c r="A39" s="61" t="s">
        <v>52</v>
      </c>
    </row>
    <row r="40" spans="1:10" x14ac:dyDescent="0.25">
      <c r="A40" s="26" t="s">
        <v>53</v>
      </c>
    </row>
    <row r="41" spans="1:10" x14ac:dyDescent="0.25">
      <c r="A41" s="26"/>
    </row>
  </sheetData>
  <mergeCells count="18">
    <mergeCell ref="E38:G38"/>
    <mergeCell ref="H38:J38"/>
    <mergeCell ref="A31:D31"/>
    <mergeCell ref="E31:G31"/>
    <mergeCell ref="H31:J31"/>
    <mergeCell ref="A32:D32"/>
    <mergeCell ref="E32:G32"/>
    <mergeCell ref="H32:J32"/>
    <mergeCell ref="A29:J29"/>
    <mergeCell ref="A1:J1"/>
    <mergeCell ref="A2:J2"/>
    <mergeCell ref="A5:J5"/>
    <mergeCell ref="A6:J6"/>
    <mergeCell ref="A8:J8"/>
    <mergeCell ref="A9:J9"/>
    <mergeCell ref="E21:F21"/>
    <mergeCell ref="E24:F24"/>
    <mergeCell ref="F26:J26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2"/>
  <sheetViews>
    <sheetView view="pageBreakPreview" topLeftCell="A22" zoomScaleNormal="100" zoomScaleSheetLayoutView="100" workbookViewId="0">
      <selection activeCell="G7" sqref="G7:M7"/>
    </sheetView>
  </sheetViews>
  <sheetFormatPr defaultColWidth="9.140625" defaultRowHeight="15" x14ac:dyDescent="0.25"/>
  <cols>
    <col min="1" max="1" width="11.85546875" style="20" customWidth="1"/>
    <col min="2" max="2" width="1.85546875" style="20" customWidth="1"/>
    <col min="3" max="3" width="4.28515625" style="20" customWidth="1"/>
    <col min="4" max="4" width="2.42578125" style="20" customWidth="1"/>
    <col min="5" max="5" width="7.85546875" style="20" customWidth="1"/>
    <col min="6" max="7" width="9.140625" style="20"/>
    <col min="8" max="8" width="3.42578125" style="20" customWidth="1"/>
    <col min="9" max="9" width="9.5703125" style="20" customWidth="1"/>
    <col min="10" max="10" width="9.140625" style="20"/>
    <col min="11" max="12" width="5.85546875" style="20" customWidth="1"/>
    <col min="13" max="13" width="13" style="20" customWidth="1"/>
    <col min="14" max="16384" width="9.140625" style="20"/>
  </cols>
  <sheetData>
    <row r="4" spans="1:13" ht="17.25" x14ac:dyDescent="0.25">
      <c r="A4" s="114" t="s">
        <v>21</v>
      </c>
      <c r="B4" s="114"/>
      <c r="C4" s="114"/>
      <c r="D4" s="114"/>
      <c r="E4" s="114"/>
      <c r="F4" s="114"/>
      <c r="G4" s="48" t="s">
        <v>10</v>
      </c>
      <c r="H4" s="48"/>
      <c r="I4" s="48"/>
      <c r="J4" s="48"/>
      <c r="K4" s="48"/>
      <c r="L4" s="48"/>
      <c r="M4" s="48"/>
    </row>
    <row r="5" spans="1:13" ht="17.25" x14ac:dyDescent="0.25">
      <c r="A5" s="115" t="s">
        <v>22</v>
      </c>
      <c r="B5" s="115"/>
      <c r="C5" s="115"/>
      <c r="D5" s="115"/>
      <c r="E5" s="115"/>
      <c r="F5" s="115"/>
      <c r="G5" s="116" t="s">
        <v>42</v>
      </c>
      <c r="H5" s="116"/>
      <c r="I5" s="116"/>
      <c r="J5" s="116"/>
      <c r="K5" s="116"/>
      <c r="L5" s="116"/>
      <c r="M5" s="116"/>
    </row>
    <row r="7" spans="1:13" ht="18.75" x14ac:dyDescent="0.3">
      <c r="A7" s="117" t="s">
        <v>54</v>
      </c>
      <c r="B7" s="117"/>
      <c r="C7" s="117"/>
      <c r="D7" s="117"/>
      <c r="E7" s="117"/>
      <c r="F7" s="117"/>
      <c r="G7" s="118" t="str">
        <f ca="1">"Quảng Ninh, ngày "&amp;LEFT(TTCHUNG!C15,2)&amp;" tháng "&amp;MID(TTCHUNG!C15,4,2)&amp;" năm "&amp;YEAR(TODAY())</f>
        <v>Quảng Ninh, ngày  tháng  năm 2026</v>
      </c>
      <c r="H7" s="118"/>
      <c r="I7" s="118"/>
      <c r="J7" s="118"/>
      <c r="K7" s="118"/>
      <c r="L7" s="118"/>
      <c r="M7" s="118"/>
    </row>
    <row r="8" spans="1:13" ht="18.75" x14ac:dyDescent="0.3">
      <c r="A8" s="34"/>
      <c r="B8" s="34"/>
      <c r="C8" s="34"/>
      <c r="D8" s="34"/>
      <c r="E8" s="34"/>
      <c r="F8" s="35"/>
      <c r="G8" s="35"/>
      <c r="H8" s="35"/>
      <c r="I8" s="35"/>
      <c r="J8" s="35"/>
      <c r="K8" s="35"/>
      <c r="L8" s="35"/>
      <c r="M8" s="35"/>
    </row>
    <row r="9" spans="1:13" ht="18.75" x14ac:dyDescent="0.25">
      <c r="A9" s="106" t="s">
        <v>20</v>
      </c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</row>
    <row r="10" spans="1:13" ht="18.75" x14ac:dyDescent="0.3">
      <c r="A10" s="120" t="s">
        <v>55</v>
      </c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</row>
    <row r="11" spans="1:13" ht="18.75" x14ac:dyDescent="0.3">
      <c r="A11" s="62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</row>
    <row r="12" spans="1:13" ht="18.75" x14ac:dyDescent="0.3">
      <c r="A12" s="62"/>
      <c r="B12" s="18"/>
      <c r="C12" s="18"/>
      <c r="D12" s="18"/>
      <c r="E12" s="105" t="s">
        <v>56</v>
      </c>
      <c r="F12" s="105"/>
      <c r="G12" s="105"/>
      <c r="H12" s="105"/>
      <c r="I12" s="105"/>
      <c r="J12" s="105"/>
      <c r="K12" s="105"/>
      <c r="L12" s="18"/>
      <c r="M12" s="18"/>
    </row>
    <row r="13" spans="1:13" ht="18.7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</row>
    <row r="14" spans="1:13" ht="36" customHeight="1" x14ac:dyDescent="0.25">
      <c r="A14" s="121" t="s">
        <v>67</v>
      </c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</row>
    <row r="15" spans="1:13" ht="36" customHeight="1" x14ac:dyDescent="0.25">
      <c r="A15" s="121" t="s">
        <v>68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</row>
    <row r="16" spans="1:13" ht="36" customHeight="1" x14ac:dyDescent="0.25">
      <c r="A16" s="121" t="s">
        <v>69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</row>
    <row r="17" spans="1:13" ht="18.75" x14ac:dyDescent="0.25">
      <c r="A17" s="106" t="s">
        <v>20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</row>
    <row r="18" spans="1:13" ht="36" customHeight="1" x14ac:dyDescent="0.25">
      <c r="A18" s="122" t="s">
        <v>88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</row>
    <row r="19" spans="1:13" ht="18.75" x14ac:dyDescent="0.3">
      <c r="A19" s="22" t="s">
        <v>13</v>
      </c>
      <c r="B19" s="48">
        <f>TTCHUNG!B7</f>
        <v>0</v>
      </c>
      <c r="C19" s="22"/>
      <c r="D19" s="22"/>
      <c r="E19" s="22"/>
      <c r="F19" s="22"/>
      <c r="G19" s="107" t="s">
        <v>14</v>
      </c>
      <c r="H19" s="107"/>
      <c r="I19" s="22">
        <f>TTCHUNG!E9</f>
        <v>0</v>
      </c>
      <c r="J19" s="117" t="s">
        <v>57</v>
      </c>
      <c r="K19" s="117"/>
      <c r="L19" s="123" t="str">
        <f>TTCHUNG!C9</f>
        <v/>
      </c>
      <c r="M19" s="123"/>
    </row>
    <row r="20" spans="1:13" ht="18.75" x14ac:dyDescent="0.3">
      <c r="A20" s="22" t="s">
        <v>1</v>
      </c>
      <c r="B20" s="22"/>
      <c r="D20" s="22">
        <f>TTCHUNG!C8</f>
        <v>0</v>
      </c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8.75" x14ac:dyDescent="0.3">
      <c r="A21" s="22" t="s">
        <v>3</v>
      </c>
      <c r="B21" s="22"/>
      <c r="C21" s="37">
        <f>TTCHUNG!B11</f>
        <v>0</v>
      </c>
      <c r="D21" s="22"/>
      <c r="E21" s="22"/>
      <c r="F21" s="22"/>
      <c r="G21" s="22"/>
      <c r="H21" s="22"/>
      <c r="I21" s="22"/>
      <c r="J21" s="50"/>
      <c r="K21" s="22"/>
      <c r="L21" s="22"/>
      <c r="M21" s="22"/>
    </row>
    <row r="22" spans="1:13" ht="18.75" x14ac:dyDescent="0.3">
      <c r="A22" s="22" t="s">
        <v>5</v>
      </c>
      <c r="B22" s="22">
        <f>TTCHUNG!C12</f>
        <v>0</v>
      </c>
      <c r="C22" s="22"/>
      <c r="D22" s="22"/>
      <c r="E22" s="22"/>
      <c r="F22" s="22"/>
      <c r="G22" s="117" t="s">
        <v>6</v>
      </c>
      <c r="H22" s="117"/>
      <c r="I22" s="22" t="str">
        <f>TTCHUNG!E12</f>
        <v>Việt Nam.</v>
      </c>
      <c r="J22" s="22"/>
      <c r="K22" s="22"/>
      <c r="L22" s="22"/>
      <c r="M22" s="22"/>
    </row>
    <row r="23" spans="1:13" ht="19.5" x14ac:dyDescent="0.35">
      <c r="A23" s="22" t="s">
        <v>12</v>
      </c>
      <c r="B23" s="22"/>
      <c r="C23" s="22"/>
      <c r="D23" s="22"/>
      <c r="E23" s="28">
        <f>TTCHUNG!C13</f>
        <v>0</v>
      </c>
      <c r="F23" s="22"/>
      <c r="G23" s="22"/>
      <c r="H23" s="22"/>
      <c r="I23" s="22"/>
      <c r="J23" s="22"/>
      <c r="K23" s="22"/>
      <c r="L23" s="22"/>
      <c r="M23" s="22"/>
    </row>
    <row r="24" spans="1:13" ht="18.75" x14ac:dyDescent="0.3">
      <c r="A24" s="22" t="s">
        <v>8</v>
      </c>
      <c r="C24" s="53" t="str">
        <f>TTCHUNG!C14</f>
        <v/>
      </c>
      <c r="D24" s="22"/>
      <c r="E24" s="22"/>
      <c r="F24" s="119" t="s">
        <v>17</v>
      </c>
      <c r="G24" s="119"/>
      <c r="H24" s="119"/>
      <c r="I24" s="22" t="s">
        <v>66</v>
      </c>
      <c r="J24" s="22"/>
      <c r="K24" s="27"/>
      <c r="L24" s="22"/>
    </row>
    <row r="25" spans="1:13" ht="18.75" x14ac:dyDescent="0.3">
      <c r="A25" s="22" t="s">
        <v>58</v>
      </c>
      <c r="B25" s="22"/>
      <c r="C25" s="22"/>
      <c r="D25" s="22"/>
      <c r="E25" s="22"/>
      <c r="F25" s="124" t="str">
        <f>TTCHUNG!C15</f>
        <v/>
      </c>
      <c r="G25" s="124"/>
      <c r="H25" s="22" t="s">
        <v>59</v>
      </c>
      <c r="I25" s="22"/>
      <c r="K25" s="22" t="s">
        <v>60</v>
      </c>
      <c r="L25" s="22"/>
      <c r="M25" s="22"/>
    </row>
    <row r="26" spans="1:13" ht="18.75" x14ac:dyDescent="0.3">
      <c r="A26" s="22" t="s">
        <v>61</v>
      </c>
      <c r="B26" s="22"/>
      <c r="C26" s="125">
        <f>[1]TTCHUNG!C16</f>
        <v>0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</row>
    <row r="27" spans="1:13" ht="36" customHeight="1" x14ac:dyDescent="0.25">
      <c r="A27" s="104" t="str">
        <f>"     Theo Quyết định điều chuyển số "&amp;TTCHUNG!B21 &amp;" ngày "&amp;TTCHUNG!C21&amp;" của "&amp;TTCHUNG!D21 &amp;"."</f>
        <v xml:space="preserve">     Theo Quyết định điều chuyển số  ngày  của .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</row>
    <row r="28" spans="1:13" ht="33.75" customHeight="1" x14ac:dyDescent="0.25">
      <c r="A28" s="104" t="s">
        <v>62</v>
      </c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</row>
    <row r="30" spans="1:13" ht="15.75" x14ac:dyDescent="0.25">
      <c r="A30" s="126"/>
      <c r="B30" s="126"/>
      <c r="C30" s="126"/>
      <c r="D30" s="126"/>
      <c r="E30" s="126"/>
      <c r="F30" s="126"/>
      <c r="G30" s="24"/>
      <c r="H30" s="111" t="s">
        <v>63</v>
      </c>
      <c r="I30" s="111"/>
      <c r="J30" s="111"/>
      <c r="K30" s="111"/>
      <c r="L30" s="111"/>
      <c r="M30" s="111"/>
    </row>
    <row r="31" spans="1:13" ht="15.75" x14ac:dyDescent="0.25">
      <c r="A31" s="113"/>
      <c r="B31" s="113"/>
      <c r="C31" s="113"/>
      <c r="D31" s="113"/>
      <c r="E31" s="113"/>
      <c r="F31" s="113"/>
      <c r="G31" s="57"/>
      <c r="H31" s="127" t="s">
        <v>64</v>
      </c>
      <c r="I31" s="127"/>
      <c r="J31" s="127"/>
      <c r="K31" s="127"/>
      <c r="L31" s="127"/>
      <c r="M31" s="127"/>
    </row>
    <row r="32" spans="1:13" ht="15.75" x14ac:dyDescent="0.25">
      <c r="J32" s="24"/>
      <c r="K32" s="24"/>
    </row>
    <row r="33" spans="1:13" ht="18.75" x14ac:dyDescent="0.25">
      <c r="A33" s="21"/>
      <c r="J33" s="25"/>
      <c r="K33" s="25"/>
    </row>
    <row r="34" spans="1:13" ht="18.75" x14ac:dyDescent="0.25">
      <c r="A34" s="21"/>
      <c r="J34" s="25"/>
      <c r="K34" s="25"/>
    </row>
    <row r="35" spans="1:13" ht="18.75" x14ac:dyDescent="0.25">
      <c r="A35" s="21"/>
      <c r="J35" s="25"/>
      <c r="K35" s="25"/>
    </row>
    <row r="36" spans="1:13" ht="15.75" x14ac:dyDescent="0.25">
      <c r="J36" s="25"/>
      <c r="K36" s="25"/>
    </row>
    <row r="37" spans="1:13" ht="15.75" x14ac:dyDescent="0.25">
      <c r="J37" s="23"/>
      <c r="K37" s="23"/>
    </row>
    <row r="38" spans="1:13" ht="18.75" x14ac:dyDescent="0.3">
      <c r="F38" s="19"/>
      <c r="G38" s="19"/>
      <c r="H38" s="112"/>
      <c r="I38" s="112"/>
      <c r="J38" s="112"/>
      <c r="K38" s="112"/>
      <c r="L38" s="112"/>
      <c r="M38" s="112"/>
    </row>
    <row r="39" spans="1:13" ht="18.75" x14ac:dyDescent="0.3">
      <c r="A39" s="56" t="s">
        <v>44</v>
      </c>
      <c r="F39" s="19"/>
      <c r="G39" s="19"/>
      <c r="H39" s="58"/>
      <c r="I39" s="58"/>
      <c r="J39" s="58"/>
      <c r="K39" s="58"/>
      <c r="L39" s="58"/>
      <c r="M39" s="58"/>
    </row>
    <row r="40" spans="1:13" ht="18.75" x14ac:dyDescent="0.3">
      <c r="A40" s="26" t="s">
        <v>82</v>
      </c>
      <c r="F40" s="19"/>
      <c r="G40" s="19"/>
      <c r="H40" s="74"/>
      <c r="I40" s="74"/>
      <c r="J40" s="74"/>
      <c r="K40" s="74"/>
      <c r="L40" s="74"/>
      <c r="M40" s="74"/>
    </row>
    <row r="41" spans="1:13" x14ac:dyDescent="0.25">
      <c r="A41" s="26" t="s">
        <v>83</v>
      </c>
    </row>
    <row r="42" spans="1:13" x14ac:dyDescent="0.25">
      <c r="A42" s="26" t="s">
        <v>65</v>
      </c>
    </row>
  </sheetData>
  <mergeCells count="27">
    <mergeCell ref="H38:M38"/>
    <mergeCell ref="F25:G25"/>
    <mergeCell ref="C26:M26"/>
    <mergeCell ref="A27:M27"/>
    <mergeCell ref="A28:M28"/>
    <mergeCell ref="A30:F30"/>
    <mergeCell ref="H30:M30"/>
    <mergeCell ref="A31:F31"/>
    <mergeCell ref="H31:M31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A9:M9"/>
    <mergeCell ref="A4:F4"/>
    <mergeCell ref="A5:F5"/>
    <mergeCell ref="G5:M5"/>
    <mergeCell ref="A7:F7"/>
    <mergeCell ref="G7:M7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41"/>
  <sheetViews>
    <sheetView view="pageBreakPreview" topLeftCell="A25" zoomScaleNormal="100" zoomScaleSheetLayoutView="100" workbookViewId="0">
      <selection activeCell="A8" sqref="A8:J8"/>
    </sheetView>
  </sheetViews>
  <sheetFormatPr defaultColWidth="9.140625" defaultRowHeight="15" x14ac:dyDescent="0.25"/>
  <cols>
    <col min="1" max="1" width="12" style="20" customWidth="1"/>
    <col min="2" max="2" width="7.42578125" style="20" customWidth="1"/>
    <col min="3" max="4" width="9.140625" style="20"/>
    <col min="5" max="5" width="6.7109375" style="20" customWidth="1"/>
    <col min="6" max="6" width="7.5703125" style="20" customWidth="1"/>
    <col min="7" max="7" width="10.42578125" style="20" customWidth="1"/>
    <col min="8" max="8" width="10.28515625" style="20" customWidth="1"/>
    <col min="9" max="9" width="11.7109375" style="20" bestFit="1" customWidth="1"/>
    <col min="10" max="16384" width="9.140625" style="20"/>
  </cols>
  <sheetData>
    <row r="1" spans="1:10" ht="18.75" x14ac:dyDescent="0.3">
      <c r="A1" s="105" t="s">
        <v>10</v>
      </c>
      <c r="B1" s="105"/>
      <c r="C1" s="105"/>
      <c r="D1" s="105"/>
      <c r="E1" s="105"/>
      <c r="F1" s="105"/>
      <c r="G1" s="105"/>
      <c r="H1" s="105"/>
      <c r="I1" s="105"/>
      <c r="J1" s="105"/>
    </row>
    <row r="2" spans="1:10" ht="18.75" x14ac:dyDescent="0.3">
      <c r="A2" s="105" t="s">
        <v>43</v>
      </c>
      <c r="B2" s="105"/>
      <c r="C2" s="105"/>
      <c r="D2" s="105"/>
      <c r="E2" s="105"/>
      <c r="F2" s="105"/>
      <c r="G2" s="105"/>
      <c r="H2" s="105"/>
      <c r="I2" s="105"/>
      <c r="J2" s="105"/>
    </row>
    <row r="4" spans="1:10" ht="10.5" customHeight="1" x14ac:dyDescent="0.25"/>
    <row r="5" spans="1:10" ht="18.75" x14ac:dyDescent="0.25">
      <c r="A5" s="106" t="s">
        <v>11</v>
      </c>
      <c r="B5" s="106"/>
      <c r="C5" s="106"/>
      <c r="D5" s="106"/>
      <c r="E5" s="106"/>
      <c r="F5" s="106"/>
      <c r="G5" s="106"/>
      <c r="H5" s="106"/>
      <c r="I5" s="106"/>
      <c r="J5" s="106"/>
    </row>
    <row r="6" spans="1:10" ht="18.75" x14ac:dyDescent="0.3">
      <c r="A6" s="105" t="s">
        <v>46</v>
      </c>
      <c r="B6" s="105"/>
      <c r="C6" s="105"/>
      <c r="D6" s="105"/>
      <c r="E6" s="105"/>
      <c r="F6" s="105"/>
      <c r="G6" s="105"/>
      <c r="H6" s="105"/>
      <c r="I6" s="105"/>
      <c r="J6" s="105"/>
    </row>
    <row r="7" spans="1:10" ht="18.75" x14ac:dyDescent="0.3">
      <c r="A7" s="83"/>
      <c r="B7" s="83"/>
      <c r="C7" s="83"/>
      <c r="D7" s="83"/>
      <c r="E7" s="83"/>
      <c r="F7" s="83"/>
      <c r="G7" s="83"/>
      <c r="H7" s="83"/>
      <c r="I7" s="83"/>
      <c r="J7" s="83"/>
    </row>
    <row r="8" spans="1:10" ht="34.5" customHeight="1" x14ac:dyDescent="0.25">
      <c r="A8" s="104" t="str">
        <f>"           Hồi ....., giờ..... phút, ngày "&amp;TTCHUNG!C15&amp;" tại Trại tạm giam Công an tỉnh Quảng Ninh."</f>
        <v xml:space="preserve">           Hồi ....., giờ..... phút, ngày  tại Trại tạm giam Công an tỉnh Quảng Ninh.</v>
      </c>
      <c r="B8" s="104"/>
      <c r="C8" s="104"/>
      <c r="D8" s="104"/>
      <c r="E8" s="104"/>
      <c r="F8" s="104"/>
      <c r="G8" s="104"/>
      <c r="H8" s="104"/>
      <c r="I8" s="104"/>
      <c r="J8" s="104"/>
    </row>
    <row r="9" spans="1:10" ht="37.5" customHeight="1" x14ac:dyDescent="0.25">
      <c r="A9" s="104" t="str">
        <f>"         Căn cứ Lệnh trích xuất số "&amp;TTCHUNG!B21 &amp;"  ngày "&amp;TTCHUNG!C21 &amp;" của " &amp;TTCHUNG!D21 &amp;"."</f>
        <v xml:space="preserve">         Căn cứ Lệnh trích xuất số   ngày  của .</v>
      </c>
      <c r="B9" s="104"/>
      <c r="C9" s="104"/>
      <c r="D9" s="104"/>
      <c r="E9" s="104"/>
      <c r="F9" s="104"/>
      <c r="G9" s="104"/>
      <c r="H9" s="104"/>
      <c r="I9" s="104"/>
      <c r="J9" s="104"/>
    </row>
    <row r="10" spans="1:10" ht="18.75" x14ac:dyDescent="0.3">
      <c r="A10" s="19" t="s">
        <v>70</v>
      </c>
      <c r="B10" s="22"/>
      <c r="C10" s="22"/>
      <c r="D10" s="22"/>
      <c r="E10" s="22"/>
      <c r="F10" s="22"/>
      <c r="G10" s="22"/>
      <c r="H10" s="22"/>
      <c r="I10" s="22"/>
      <c r="J10" s="22"/>
    </row>
    <row r="11" spans="1:10" ht="18.75" x14ac:dyDescent="0.3">
      <c r="A11" s="22" t="s">
        <v>71</v>
      </c>
      <c r="B11" s="93" t="str">
        <f>TTCHUNG!E21</f>
        <v/>
      </c>
      <c r="C11" s="22"/>
      <c r="D11" s="22"/>
      <c r="E11" s="22"/>
      <c r="F11" s="22"/>
      <c r="G11" s="22" t="s">
        <v>9</v>
      </c>
      <c r="H11" s="22" t="s">
        <v>93</v>
      </c>
      <c r="I11" s="22"/>
      <c r="J11" s="22"/>
    </row>
    <row r="12" spans="1:10" ht="18.75" x14ac:dyDescent="0.3">
      <c r="A12" s="22" t="s">
        <v>72</v>
      </c>
      <c r="B12" s="93" t="str">
        <f>TTCHUNG!F21</f>
        <v/>
      </c>
      <c r="C12" s="22"/>
      <c r="D12" s="22"/>
      <c r="E12" s="22"/>
      <c r="F12" s="22"/>
      <c r="G12" s="22"/>
      <c r="H12" s="22"/>
      <c r="I12" s="22"/>
      <c r="J12" s="22"/>
    </row>
    <row r="13" spans="1:10" ht="18.75" x14ac:dyDescent="0.3">
      <c r="A13" s="22" t="s">
        <v>73</v>
      </c>
      <c r="B13" s="22"/>
      <c r="C13" s="22">
        <f>TTCHUNG!G21</f>
        <v>0</v>
      </c>
      <c r="E13" s="22"/>
      <c r="F13" s="22"/>
      <c r="G13" s="22"/>
      <c r="H13" s="22"/>
      <c r="I13" s="22"/>
      <c r="J13" s="22"/>
    </row>
    <row r="14" spans="1:10" ht="18.75" x14ac:dyDescent="0.3">
      <c r="A14" s="22" t="s">
        <v>74</v>
      </c>
      <c r="B14" s="22"/>
      <c r="C14" s="22"/>
      <c r="D14" s="22"/>
      <c r="E14" s="22"/>
      <c r="F14" s="22"/>
      <c r="G14" s="22"/>
      <c r="H14" s="22"/>
      <c r="I14" s="22"/>
      <c r="J14" s="22"/>
    </row>
    <row r="15" spans="1:10" ht="18.75" x14ac:dyDescent="0.3">
      <c r="A15" s="19" t="s">
        <v>75</v>
      </c>
      <c r="B15" s="19"/>
      <c r="C15" s="19"/>
      <c r="D15" s="19"/>
      <c r="E15" s="19"/>
      <c r="F15" s="19"/>
      <c r="G15" s="19"/>
      <c r="H15" s="19"/>
      <c r="I15" s="19"/>
      <c r="J15" s="19"/>
    </row>
    <row r="16" spans="1:10" ht="18.75" x14ac:dyDescent="0.3">
      <c r="A16" s="22" t="s">
        <v>76</v>
      </c>
      <c r="B16" s="22" t="s">
        <v>47</v>
      </c>
      <c r="C16" s="22"/>
      <c r="D16" s="22"/>
      <c r="E16" s="22"/>
      <c r="F16" s="22"/>
      <c r="G16" s="22" t="s">
        <v>9</v>
      </c>
      <c r="H16" s="22" t="s">
        <v>89</v>
      </c>
      <c r="I16" s="22"/>
      <c r="J16" s="22"/>
    </row>
    <row r="17" spans="1:10" ht="18.75" x14ac:dyDescent="0.3">
      <c r="A17" s="22" t="s">
        <v>72</v>
      </c>
      <c r="B17" s="22" t="s">
        <v>87</v>
      </c>
      <c r="C17" s="22"/>
      <c r="D17" s="22"/>
      <c r="E17" s="22"/>
      <c r="F17" s="22"/>
      <c r="G17" s="22"/>
      <c r="H17" s="22"/>
      <c r="I17" s="22"/>
      <c r="J17" s="22"/>
    </row>
    <row r="18" spans="1:10" ht="18.75" x14ac:dyDescent="0.3">
      <c r="A18" s="22" t="s">
        <v>73</v>
      </c>
      <c r="B18" s="22"/>
      <c r="C18" s="22" t="s">
        <v>97</v>
      </c>
      <c r="E18" s="22"/>
      <c r="F18" s="22"/>
      <c r="G18" s="22"/>
      <c r="H18" s="22"/>
      <c r="I18" s="22"/>
      <c r="J18" s="22"/>
    </row>
    <row r="19" spans="1:10" ht="18.75" x14ac:dyDescent="0.3">
      <c r="A19" s="22" t="s">
        <v>74</v>
      </c>
      <c r="B19" s="22"/>
      <c r="C19" s="22"/>
      <c r="D19" s="22"/>
      <c r="E19" s="22"/>
      <c r="F19" s="22"/>
      <c r="G19" s="22"/>
      <c r="H19" s="22"/>
      <c r="I19" s="22"/>
      <c r="J19" s="22"/>
    </row>
    <row r="20" spans="1:10" ht="18.75" x14ac:dyDescent="0.3">
      <c r="A20" s="22" t="s">
        <v>77</v>
      </c>
      <c r="B20" s="22"/>
      <c r="C20" s="22"/>
      <c r="D20" s="22"/>
      <c r="E20" s="22"/>
      <c r="F20" s="22"/>
      <c r="G20" s="22"/>
      <c r="H20" s="22"/>
      <c r="I20" s="22"/>
      <c r="J20" s="22"/>
    </row>
    <row r="21" spans="1:10" ht="18.75" x14ac:dyDescent="0.3">
      <c r="A21" s="22" t="str">
        <f>"   Họ và tên: "&amp;TTCHUNG!B7</f>
        <v xml:space="preserve">   Họ và tên: </v>
      </c>
      <c r="B21" s="19"/>
      <c r="C21" s="22"/>
      <c r="D21" s="22"/>
      <c r="E21" s="107" t="s">
        <v>14</v>
      </c>
      <c r="F21" s="107"/>
      <c r="G21" s="22">
        <f>TTCHUNG!E9</f>
        <v>0</v>
      </c>
      <c r="H21" s="50" t="s">
        <v>15</v>
      </c>
      <c r="I21" s="93" t="str">
        <f>TTCHUNG!C9</f>
        <v/>
      </c>
      <c r="J21" s="22"/>
    </row>
    <row r="22" spans="1:10" ht="18.75" x14ac:dyDescent="0.3">
      <c r="A22" s="22" t="s">
        <v>78</v>
      </c>
      <c r="B22" s="22"/>
      <c r="C22" s="22">
        <f>TTCHUNG!C8</f>
        <v>0</v>
      </c>
      <c r="D22" s="22"/>
      <c r="E22" s="22"/>
      <c r="F22" s="22"/>
      <c r="G22" s="22"/>
      <c r="H22" s="22"/>
      <c r="I22" s="22"/>
      <c r="J22" s="22"/>
    </row>
    <row r="23" spans="1:10" ht="18.75" customHeight="1" x14ac:dyDescent="0.3">
      <c r="A23" s="22" t="str">
        <f>"    Nơi ĐKTT: "&amp;TTCHUNG!B11</f>
        <v xml:space="preserve">    Nơi ĐKTT: </v>
      </c>
      <c r="B23" s="37"/>
      <c r="D23" s="22"/>
      <c r="E23" s="22"/>
      <c r="F23" s="22"/>
      <c r="G23" s="22"/>
      <c r="H23" s="50"/>
      <c r="I23" s="22"/>
      <c r="J23" s="22"/>
    </row>
    <row r="24" spans="1:10" ht="18.75" x14ac:dyDescent="0.3">
      <c r="A24" s="22" t="s">
        <v>79</v>
      </c>
      <c r="B24" s="22">
        <f>TTCHUNG!C12</f>
        <v>0</v>
      </c>
      <c r="C24" s="22"/>
      <c r="D24" s="22"/>
      <c r="E24" s="107" t="s">
        <v>6</v>
      </c>
      <c r="F24" s="107"/>
      <c r="G24" s="22" t="str">
        <f>TTCHUNG!E12</f>
        <v>Việt Nam.</v>
      </c>
      <c r="H24" s="50"/>
      <c r="I24" s="22"/>
      <c r="J24" s="22"/>
    </row>
    <row r="25" spans="1:10" ht="18.75" customHeight="1" x14ac:dyDescent="0.35">
      <c r="A25" s="50" t="str">
        <f>"   Hành vi phạm tội: "&amp;TTCHUNG!C13</f>
        <v xml:space="preserve">   Hành vi phạm tội: </v>
      </c>
      <c r="B25" s="22"/>
      <c r="C25" s="73"/>
      <c r="D25" s="73"/>
      <c r="E25" s="73"/>
      <c r="F25" s="73"/>
      <c r="G25" s="73"/>
      <c r="H25" s="73"/>
      <c r="I25" s="73"/>
      <c r="J25" s="73"/>
    </row>
    <row r="26" spans="1:10" ht="18.75" x14ac:dyDescent="0.3">
      <c r="A26" s="22" t="s">
        <v>80</v>
      </c>
      <c r="B26" s="22"/>
      <c r="C26" s="93" t="str">
        <f>TTCHUNG!C14</f>
        <v/>
      </c>
      <c r="D26" s="22"/>
      <c r="E26" s="22"/>
      <c r="F26" s="128" t="s">
        <v>92</v>
      </c>
      <c r="G26" s="128"/>
      <c r="H26" s="128"/>
      <c r="I26" s="128"/>
      <c r="J26" s="128"/>
    </row>
    <row r="27" spans="1:10" ht="18.75" x14ac:dyDescent="0.3">
      <c r="A27" s="22" t="s">
        <v>81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ht="18.75" x14ac:dyDescent="0.25">
      <c r="A28" s="32" t="str">
        <f>"   Hồ sơ tài liệu của: "&amp;TTCHUNG!B7&amp; " gồm       trang, đã bàn giao theo quy định."</f>
        <v xml:space="preserve">   Hồ sơ tài liệu của:  gồm       trang, đã bàn giao theo quy định.</v>
      </c>
      <c r="B28" s="32"/>
      <c r="C28" s="36"/>
      <c r="D28" s="36"/>
      <c r="E28" s="36"/>
      <c r="F28" s="59"/>
      <c r="G28" s="59"/>
      <c r="H28" s="59"/>
      <c r="I28" s="59"/>
    </row>
    <row r="29" spans="1:10" ht="38.25" customHeight="1" x14ac:dyDescent="0.25">
      <c r="A29" s="104" t="str">
        <f>"       Biên bản lập xong hồi ...... giờ....... phút, ngày " &amp;TTCHUNG!C15&amp;", đã đọc lại cho những người có tên trong biên bản nghe, đồng ý với nội dung biên bản và ký tên dưới đây./."</f>
        <v xml:space="preserve">       Biên bản lập xong hồi ...... giờ....... phút, ngày , đã đọc lại cho những người có tên trong biên bản nghe, đồng ý với nội dung biên bản và ký tên dưới đây./.</v>
      </c>
      <c r="B29" s="104"/>
      <c r="C29" s="104"/>
      <c r="D29" s="104"/>
      <c r="E29" s="104"/>
      <c r="F29" s="104"/>
      <c r="G29" s="104"/>
      <c r="H29" s="104"/>
      <c r="I29" s="104"/>
      <c r="J29" s="104"/>
    </row>
    <row r="30" spans="1:10" ht="18.75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</row>
    <row r="31" spans="1:10" ht="18.75" x14ac:dyDescent="0.25">
      <c r="A31" s="111" t="s">
        <v>48</v>
      </c>
      <c r="B31" s="111"/>
      <c r="C31" s="111"/>
      <c r="D31" s="111"/>
      <c r="E31" s="112" t="s">
        <v>49</v>
      </c>
      <c r="F31" s="112"/>
      <c r="G31" s="112"/>
      <c r="H31" s="112" t="s">
        <v>50</v>
      </c>
      <c r="I31" s="112"/>
      <c r="J31" s="112"/>
    </row>
    <row r="32" spans="1:10" x14ac:dyDescent="0.25">
      <c r="A32" s="113" t="s">
        <v>51</v>
      </c>
      <c r="B32" s="113"/>
      <c r="C32" s="113"/>
      <c r="D32" s="113"/>
      <c r="E32" s="113" t="s">
        <v>18</v>
      </c>
      <c r="F32" s="113"/>
      <c r="G32" s="113"/>
      <c r="H32" s="113" t="s">
        <v>18</v>
      </c>
      <c r="I32" s="113"/>
      <c r="J32" s="113"/>
    </row>
    <row r="33" spans="1:10" ht="15.75" x14ac:dyDescent="0.25">
      <c r="H33" s="91"/>
    </row>
    <row r="34" spans="1:10" ht="15.75" x14ac:dyDescent="0.25">
      <c r="H34" s="25"/>
    </row>
    <row r="35" spans="1:10" ht="15.75" x14ac:dyDescent="0.25">
      <c r="H35" s="25"/>
    </row>
    <row r="36" spans="1:10" ht="15.75" x14ac:dyDescent="0.25">
      <c r="H36" s="25"/>
    </row>
    <row r="37" spans="1:10" ht="15.75" x14ac:dyDescent="0.25">
      <c r="H37" s="85"/>
    </row>
    <row r="38" spans="1:10" ht="18.75" x14ac:dyDescent="0.3">
      <c r="A38" s="60" t="s">
        <v>44</v>
      </c>
      <c r="E38" s="109" t="str">
        <f>B11</f>
        <v/>
      </c>
      <c r="F38" s="109"/>
      <c r="G38" s="109"/>
      <c r="H38" s="110" t="str">
        <f>B16</f>
        <v>.................................................................</v>
      </c>
      <c r="I38" s="110"/>
      <c r="J38" s="110"/>
    </row>
    <row r="39" spans="1:10" x14ac:dyDescent="0.25">
      <c r="A39" s="61" t="s">
        <v>52</v>
      </c>
    </row>
    <row r="40" spans="1:10" x14ac:dyDescent="0.25">
      <c r="A40" s="26" t="s">
        <v>53</v>
      </c>
    </row>
    <row r="41" spans="1:10" x14ac:dyDescent="0.25">
      <c r="A41" s="26"/>
    </row>
  </sheetData>
  <mergeCells count="18">
    <mergeCell ref="A9:J9"/>
    <mergeCell ref="A1:J1"/>
    <mergeCell ref="A2:J2"/>
    <mergeCell ref="A5:J5"/>
    <mergeCell ref="A6:J6"/>
    <mergeCell ref="A8:J8"/>
    <mergeCell ref="E21:F21"/>
    <mergeCell ref="E24:F24"/>
    <mergeCell ref="F26:J26"/>
    <mergeCell ref="A29:J29"/>
    <mergeCell ref="A31:D31"/>
    <mergeCell ref="E31:G31"/>
    <mergeCell ref="H31:J31"/>
    <mergeCell ref="A32:D32"/>
    <mergeCell ref="E32:G32"/>
    <mergeCell ref="H32:J32"/>
    <mergeCell ref="E38:G38"/>
    <mergeCell ref="H38:J38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2"/>
  <sheetViews>
    <sheetView tabSelected="1" view="pageBreakPreview" topLeftCell="A13" zoomScaleNormal="100" zoomScaleSheetLayoutView="100" workbookViewId="0">
      <selection activeCell="G7" sqref="G7:M7"/>
    </sheetView>
  </sheetViews>
  <sheetFormatPr defaultColWidth="9.140625" defaultRowHeight="15" x14ac:dyDescent="0.25"/>
  <cols>
    <col min="1" max="1" width="11.85546875" style="20" customWidth="1"/>
    <col min="2" max="2" width="1.85546875" style="20" customWidth="1"/>
    <col min="3" max="3" width="4.28515625" style="20" customWidth="1"/>
    <col min="4" max="4" width="2.42578125" style="20" customWidth="1"/>
    <col min="5" max="5" width="7.85546875" style="20" customWidth="1"/>
    <col min="6" max="7" width="9.140625" style="20"/>
    <col min="8" max="8" width="3.42578125" style="20" customWidth="1"/>
    <col min="9" max="9" width="9.5703125" style="20" customWidth="1"/>
    <col min="10" max="10" width="9.140625" style="20"/>
    <col min="11" max="12" width="5.85546875" style="20" customWidth="1"/>
    <col min="13" max="13" width="13" style="20" customWidth="1"/>
    <col min="14" max="16384" width="9.140625" style="20"/>
  </cols>
  <sheetData>
    <row r="4" spans="1:13" ht="17.25" x14ac:dyDescent="0.25">
      <c r="A4" s="114" t="s">
        <v>21</v>
      </c>
      <c r="B4" s="114"/>
      <c r="C4" s="114"/>
      <c r="D4" s="114"/>
      <c r="E4" s="114"/>
      <c r="F4" s="114"/>
      <c r="G4" s="48" t="s">
        <v>10</v>
      </c>
      <c r="H4" s="48"/>
      <c r="I4" s="48"/>
      <c r="J4" s="48"/>
      <c r="K4" s="48"/>
      <c r="L4" s="48"/>
      <c r="M4" s="48"/>
    </row>
    <row r="5" spans="1:13" ht="17.25" x14ac:dyDescent="0.25">
      <c r="A5" s="115" t="s">
        <v>22</v>
      </c>
      <c r="B5" s="115"/>
      <c r="C5" s="115"/>
      <c r="D5" s="115"/>
      <c r="E5" s="115"/>
      <c r="F5" s="115"/>
      <c r="G5" s="116" t="s">
        <v>42</v>
      </c>
      <c r="H5" s="116"/>
      <c r="I5" s="116"/>
      <c r="J5" s="116"/>
      <c r="K5" s="116"/>
      <c r="L5" s="116"/>
      <c r="M5" s="116"/>
    </row>
    <row r="7" spans="1:13" ht="18.75" x14ac:dyDescent="0.3">
      <c r="A7" s="117" t="s">
        <v>54</v>
      </c>
      <c r="B7" s="117"/>
      <c r="C7" s="117"/>
      <c r="D7" s="117"/>
      <c r="E7" s="117"/>
      <c r="F7" s="117"/>
      <c r="G7" s="118" t="str">
        <f ca="1">"Quảng Ninh, ngày "&amp;LEFT(TTCHUNG!C15,2)&amp;" tháng "&amp;MID(TTCHUNG!C15,4,2)&amp;" năm "&amp;YEAR(TODAY())</f>
        <v>Quảng Ninh, ngày  tháng  năm 2026</v>
      </c>
      <c r="H7" s="118"/>
      <c r="I7" s="118"/>
      <c r="J7" s="118"/>
      <c r="K7" s="118"/>
      <c r="L7" s="118"/>
      <c r="M7" s="118"/>
    </row>
    <row r="8" spans="1:13" ht="18.75" x14ac:dyDescent="0.3">
      <c r="A8" s="88"/>
      <c r="B8" s="88"/>
      <c r="C8" s="88"/>
      <c r="D8" s="88"/>
      <c r="E8" s="88"/>
      <c r="F8" s="89"/>
      <c r="G8" s="89"/>
      <c r="H8" s="89"/>
      <c r="I8" s="89"/>
      <c r="J8" s="89"/>
      <c r="K8" s="89"/>
      <c r="L8" s="89"/>
      <c r="M8" s="89"/>
    </row>
    <row r="9" spans="1:13" ht="18.75" x14ac:dyDescent="0.25">
      <c r="A9" s="106" t="s">
        <v>20</v>
      </c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</row>
    <row r="10" spans="1:13" ht="18.75" x14ac:dyDescent="0.3">
      <c r="A10" s="120" t="s">
        <v>55</v>
      </c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</row>
    <row r="11" spans="1:13" ht="18.75" x14ac:dyDescent="0.3">
      <c r="A11" s="90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</row>
    <row r="12" spans="1:13" ht="18.75" x14ac:dyDescent="0.3">
      <c r="A12" s="90"/>
      <c r="B12" s="83"/>
      <c r="C12" s="83"/>
      <c r="D12" s="83"/>
      <c r="E12" s="105" t="s">
        <v>56</v>
      </c>
      <c r="F12" s="105"/>
      <c r="G12" s="105"/>
      <c r="H12" s="105"/>
      <c r="I12" s="105"/>
      <c r="J12" s="105"/>
      <c r="K12" s="105"/>
      <c r="L12" s="83"/>
      <c r="M12" s="83"/>
    </row>
    <row r="13" spans="1:13" ht="18.75" x14ac:dyDescent="0.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</row>
    <row r="14" spans="1:13" ht="36" customHeight="1" x14ac:dyDescent="0.25">
      <c r="A14" s="121" t="s">
        <v>67</v>
      </c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</row>
    <row r="15" spans="1:13" ht="36" customHeight="1" x14ac:dyDescent="0.25">
      <c r="A15" s="121" t="s">
        <v>68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</row>
    <row r="16" spans="1:13" ht="36" customHeight="1" x14ac:dyDescent="0.25">
      <c r="A16" s="121" t="s">
        <v>69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</row>
    <row r="17" spans="1:13" ht="18.75" x14ac:dyDescent="0.25">
      <c r="A17" s="106" t="s">
        <v>20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</row>
    <row r="18" spans="1:13" ht="36" customHeight="1" x14ac:dyDescent="0.25">
      <c r="A18" s="122" t="s">
        <v>88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</row>
    <row r="19" spans="1:13" ht="18.75" x14ac:dyDescent="0.3">
      <c r="A19" s="22" t="s">
        <v>13</v>
      </c>
      <c r="B19" s="48">
        <f>TTCHUNG!B7</f>
        <v>0</v>
      </c>
      <c r="C19" s="22"/>
      <c r="D19" s="22"/>
      <c r="E19" s="22"/>
      <c r="F19" s="22"/>
      <c r="G19" s="107" t="s">
        <v>14</v>
      </c>
      <c r="H19" s="107"/>
      <c r="I19" s="95">
        <f>TTCHUNG!E9</f>
        <v>0</v>
      </c>
      <c r="J19" s="117" t="s">
        <v>57</v>
      </c>
      <c r="K19" s="117"/>
      <c r="L19" s="131" t="str">
        <f>TTCHUNG!C9</f>
        <v/>
      </c>
      <c r="M19" s="123"/>
    </row>
    <row r="20" spans="1:13" ht="18.75" x14ac:dyDescent="0.3">
      <c r="A20" s="22" t="s">
        <v>1</v>
      </c>
      <c r="B20" s="22"/>
      <c r="D20" s="22">
        <f>TTCHUNG!C8</f>
        <v>0</v>
      </c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8.75" x14ac:dyDescent="0.3">
      <c r="A21" s="22" t="s">
        <v>3</v>
      </c>
      <c r="B21" s="22"/>
      <c r="C21" s="37">
        <f>TTCHUNG!B11</f>
        <v>0</v>
      </c>
      <c r="D21" s="22"/>
      <c r="E21" s="22"/>
      <c r="F21" s="22"/>
      <c r="G21" s="22"/>
      <c r="H21" s="22"/>
      <c r="I21" s="22"/>
      <c r="J21" s="50"/>
      <c r="K21" s="22"/>
      <c r="L21" s="22"/>
      <c r="M21" s="22"/>
    </row>
    <row r="22" spans="1:13" ht="18.75" x14ac:dyDescent="0.3">
      <c r="A22" s="22" t="s">
        <v>5</v>
      </c>
      <c r="B22" s="22">
        <f>TTCHUNG!C12</f>
        <v>0</v>
      </c>
      <c r="C22" s="22"/>
      <c r="D22" s="22"/>
      <c r="E22" s="22"/>
      <c r="F22" s="22"/>
      <c r="G22" s="117" t="s">
        <v>6</v>
      </c>
      <c r="H22" s="117"/>
      <c r="I22" s="22" t="str">
        <f>TTCHUNG!E12</f>
        <v>Việt Nam.</v>
      </c>
      <c r="J22" s="22"/>
      <c r="K22" s="22"/>
      <c r="L22" s="22"/>
      <c r="M22" s="22"/>
    </row>
    <row r="23" spans="1:13" ht="18.75" x14ac:dyDescent="0.3">
      <c r="A23" s="22" t="s">
        <v>12</v>
      </c>
      <c r="B23" s="22"/>
      <c r="C23" s="22"/>
      <c r="D23" s="22"/>
      <c r="E23" s="92">
        <f>TTCHUNG!C13</f>
        <v>0</v>
      </c>
      <c r="F23" s="22"/>
      <c r="G23" s="22"/>
      <c r="H23" s="22"/>
      <c r="I23" s="22"/>
      <c r="J23" s="22"/>
      <c r="K23" s="22"/>
      <c r="L23" s="22"/>
      <c r="M23" s="22"/>
    </row>
    <row r="24" spans="1:13" ht="18.75" x14ac:dyDescent="0.3">
      <c r="A24" s="22" t="s">
        <v>8</v>
      </c>
      <c r="C24" s="93" t="str">
        <f>TTCHUNG!C14</f>
        <v/>
      </c>
      <c r="D24" s="22"/>
      <c r="E24" s="22"/>
      <c r="F24" s="119" t="s">
        <v>17</v>
      </c>
      <c r="G24" s="119"/>
      <c r="H24" s="119"/>
      <c r="I24" s="22" t="s">
        <v>66</v>
      </c>
      <c r="J24" s="22"/>
      <c r="K24" s="84"/>
      <c r="L24" s="22"/>
    </row>
    <row r="25" spans="1:13" ht="18.75" x14ac:dyDescent="0.3">
      <c r="A25" s="22" t="s">
        <v>58</v>
      </c>
      <c r="B25" s="22"/>
      <c r="C25" s="22"/>
      <c r="D25" s="22"/>
      <c r="E25" s="22"/>
      <c r="F25" s="129" t="str">
        <f>TTCHUNG!C15</f>
        <v/>
      </c>
      <c r="G25" s="124"/>
      <c r="H25" s="22" t="s">
        <v>59</v>
      </c>
      <c r="I25" s="22"/>
      <c r="K25" s="22" t="s">
        <v>60</v>
      </c>
      <c r="L25" s="22"/>
      <c r="M25" s="22"/>
    </row>
    <row r="26" spans="1:13" ht="18.75" x14ac:dyDescent="0.3">
      <c r="A26" s="22" t="s">
        <v>61</v>
      </c>
      <c r="B26" s="22"/>
      <c r="C26" s="130">
        <f>TTCHUNG!C16</f>
        <v>0</v>
      </c>
      <c r="D26" s="130"/>
      <c r="E26" s="130"/>
      <c r="F26" s="130"/>
      <c r="G26" s="130"/>
      <c r="H26" s="130"/>
      <c r="I26" s="130"/>
      <c r="J26" s="130"/>
      <c r="K26" s="130"/>
      <c r="L26" s="130"/>
      <c r="M26" s="130"/>
    </row>
    <row r="27" spans="1:13" ht="36" customHeight="1" x14ac:dyDescent="0.25">
      <c r="A27" s="104" t="str">
        <f>"     Theo Quyết định điều chuyển số "&amp;TTCHUNG!B21 &amp;" ngày "&amp;TTCHUNG!C21&amp;" của "&amp;TTCHUNG!D21 &amp;"."</f>
        <v xml:space="preserve">     Theo Quyết định điều chuyển số  ngày  của .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</row>
    <row r="28" spans="1:13" ht="33.75" customHeight="1" x14ac:dyDescent="0.25">
      <c r="A28" s="104" t="s">
        <v>62</v>
      </c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</row>
    <row r="30" spans="1:13" ht="15.75" x14ac:dyDescent="0.25">
      <c r="A30" s="126"/>
      <c r="B30" s="126"/>
      <c r="C30" s="126"/>
      <c r="D30" s="126"/>
      <c r="E30" s="126"/>
      <c r="F30" s="126"/>
      <c r="G30" s="91"/>
      <c r="H30" s="111" t="s">
        <v>63</v>
      </c>
      <c r="I30" s="111"/>
      <c r="J30" s="111"/>
      <c r="K30" s="111"/>
      <c r="L30" s="111"/>
      <c r="M30" s="111"/>
    </row>
    <row r="31" spans="1:13" ht="15.75" x14ac:dyDescent="0.25">
      <c r="A31" s="113"/>
      <c r="B31" s="113"/>
      <c r="C31" s="113"/>
      <c r="D31" s="113"/>
      <c r="E31" s="113"/>
      <c r="F31" s="113"/>
      <c r="G31" s="87"/>
      <c r="H31" s="127" t="s">
        <v>64</v>
      </c>
      <c r="I31" s="127"/>
      <c r="J31" s="127"/>
      <c r="K31" s="127"/>
      <c r="L31" s="127"/>
      <c r="M31" s="127"/>
    </row>
    <row r="32" spans="1:13" ht="15.75" x14ac:dyDescent="0.25">
      <c r="J32" s="91"/>
      <c r="K32" s="91"/>
    </row>
    <row r="33" spans="1:13" ht="18.75" x14ac:dyDescent="0.25">
      <c r="A33" s="82"/>
      <c r="J33" s="25"/>
      <c r="K33" s="25"/>
    </row>
    <row r="34" spans="1:13" ht="18.75" x14ac:dyDescent="0.25">
      <c r="A34" s="82"/>
      <c r="J34" s="25"/>
      <c r="K34" s="25"/>
    </row>
    <row r="35" spans="1:13" ht="18.75" x14ac:dyDescent="0.25">
      <c r="A35" s="82"/>
      <c r="J35" s="25"/>
      <c r="K35" s="25"/>
    </row>
    <row r="36" spans="1:13" ht="15.75" x14ac:dyDescent="0.25">
      <c r="J36" s="25"/>
      <c r="K36" s="25"/>
    </row>
    <row r="37" spans="1:13" ht="15.75" x14ac:dyDescent="0.25">
      <c r="J37" s="85"/>
      <c r="K37" s="85"/>
    </row>
    <row r="38" spans="1:13" ht="18.75" x14ac:dyDescent="0.3">
      <c r="F38" s="19"/>
      <c r="G38" s="19"/>
      <c r="H38" s="112"/>
      <c r="I38" s="112"/>
      <c r="J38" s="112"/>
      <c r="K38" s="112"/>
      <c r="L38" s="112"/>
      <c r="M38" s="112"/>
    </row>
    <row r="39" spans="1:13" ht="18.75" x14ac:dyDescent="0.3">
      <c r="A39" s="56" t="s">
        <v>44</v>
      </c>
      <c r="F39" s="19"/>
      <c r="G39" s="19"/>
      <c r="H39" s="86"/>
      <c r="I39" s="86"/>
      <c r="J39" s="86"/>
      <c r="K39" s="86"/>
      <c r="L39" s="86"/>
      <c r="M39" s="86"/>
    </row>
    <row r="40" spans="1:13" ht="18.75" x14ac:dyDescent="0.3">
      <c r="A40" s="26" t="s">
        <v>82</v>
      </c>
      <c r="F40" s="19"/>
      <c r="G40" s="19"/>
      <c r="H40" s="86"/>
      <c r="I40" s="86"/>
      <c r="J40" s="86"/>
      <c r="K40" s="86"/>
      <c r="L40" s="86"/>
      <c r="M40" s="86"/>
    </row>
    <row r="41" spans="1:13" x14ac:dyDescent="0.25">
      <c r="A41" s="26" t="s">
        <v>83</v>
      </c>
    </row>
    <row r="42" spans="1:13" x14ac:dyDescent="0.25">
      <c r="A42" s="26" t="s">
        <v>65</v>
      </c>
    </row>
  </sheetData>
  <mergeCells count="27">
    <mergeCell ref="A9:M9"/>
    <mergeCell ref="A4:F4"/>
    <mergeCell ref="A5:F5"/>
    <mergeCell ref="G5:M5"/>
    <mergeCell ref="A7:F7"/>
    <mergeCell ref="G7:M7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A31:F31"/>
    <mergeCell ref="H31:M31"/>
    <mergeCell ref="H38:M38"/>
    <mergeCell ref="F25:G25"/>
    <mergeCell ref="C26:M26"/>
    <mergeCell ref="A27:M27"/>
    <mergeCell ref="A28:M28"/>
    <mergeCell ref="A30:F30"/>
    <mergeCell ref="H30:M30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Theo doi CPM</vt:lpstr>
      <vt:lpstr>ĐK</vt:lpstr>
      <vt:lpstr>TTCHUNG</vt:lpstr>
      <vt:lpstr>GN-DC</vt:lpstr>
      <vt:lpstr>BTGG-DC</vt:lpstr>
      <vt:lpstr>GN-TX</vt:lpstr>
      <vt:lpstr>BTGG-TX</vt:lpstr>
      <vt:lpstr>'BTGG-DC'!Print_Area</vt:lpstr>
      <vt:lpstr>'BTGG-TX'!Print_Area</vt:lpstr>
      <vt:lpstr>'GN-DC'!Print_Area</vt:lpstr>
      <vt:lpstr>'GN-TX'!Print_Area</vt:lpstr>
      <vt:lpstr>TTCHUNG!Print_Area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2026-05-21T01:27:27Z</cp:lastPrinted>
  <dcterms:created xsi:type="dcterms:W3CDTF">2022-12-21T08:32:01Z</dcterms:created>
  <dcterms:modified xsi:type="dcterms:W3CDTF">2026-05-24T14:01:41Z</dcterms:modified>
</cp:coreProperties>
</file>