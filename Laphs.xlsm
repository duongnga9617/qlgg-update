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D:\Tien ich\64 bit - 2.0\"/>
    </mc:Choice>
  </mc:AlternateContent>
  <bookViews>
    <workbookView xWindow="-120" yWindow="-120" windowWidth="20730" windowHeight="11160" tabRatio="920" firstSheet="2" activeTab="13"/>
  </bookViews>
  <sheets>
    <sheet name="Theo doi CPM" sheetId="37" state="hidden" r:id="rId1"/>
    <sheet name="ĐK" sheetId="35" state="hidden" r:id="rId2"/>
    <sheet name="TTCHUNG" sheetId="2" r:id="rId3"/>
    <sheet name="LAPGS" sheetId="32" r:id="rId4"/>
    <sheet name="KTGS" sheetId="59" r:id="rId5"/>
    <sheet name="LAPGP" sheetId="58" r:id="rId6"/>
    <sheet name="LAPGP-BTG" sheetId="73" r:id="rId7"/>
    <sheet name="GNGiu" sheetId="66" r:id="rId8"/>
    <sheet name="GNGiam" sheetId="70" r:id="rId9"/>
    <sheet name="BTGG" sheetId="67" r:id="rId10"/>
    <sheet name="TBTgiu" sheetId="64" r:id="rId11"/>
    <sheet name="TBGHTgiu" sheetId="65" r:id="rId12"/>
    <sheet name="TBTgiam" sheetId="71" r:id="rId13"/>
    <sheet name="TBTgiam2" sheetId="69" r:id="rId14"/>
  </sheets>
  <externalReferences>
    <externalReference r:id="rId15"/>
  </externalReferences>
  <definedNames>
    <definedName name="_xlnm.Print_Area" localSheetId="9">BTGG!$A$1:$M$41</definedName>
    <definedName name="_xlnm.Print_Area" localSheetId="8">GNGiam!$A$1:$K$44</definedName>
    <definedName name="_xlnm.Print_Area" localSheetId="7">GNGiu!$A$1:$K$44</definedName>
    <definedName name="_xlnm.Print_Area" localSheetId="4">KTGS!$A$1:$K$84</definedName>
    <definedName name="_xlnm.Print_Area" localSheetId="5">LAPGP!$A$1:$K$84</definedName>
    <definedName name="_xlnm.Print_Area" localSheetId="6">'LAPGP-BTG'!$A$1:$K$87</definedName>
    <definedName name="_xlnm.Print_Area" localSheetId="3">LAPGS!$A$1:$K$84</definedName>
    <definedName name="_xlnm.Print_Area" localSheetId="11">TBGHTgiu!$A$1:$J$39</definedName>
    <definedName name="_xlnm.Print_Area" localSheetId="12">TBTgiam!$A$1:$J$39</definedName>
    <definedName name="_xlnm.Print_Area" localSheetId="13">TBTgiam2!$A$1:$J$41</definedName>
    <definedName name="_xlnm.Print_Area" localSheetId="10">TBTgiu!$A$1:$K$43</definedName>
    <definedName name="_xlnm.Print_Area" localSheetId="2">TTCHUNG!$A$1:$G$28</definedName>
  </definedNames>
  <calcPr calcId="162913"/>
</workbook>
</file>

<file path=xl/calcChain.xml><?xml version="1.0" encoding="utf-8"?>
<calcChain xmlns="http://schemas.openxmlformats.org/spreadsheetml/2006/main">
  <c r="E7" i="69" l="1"/>
  <c r="E7" i="71"/>
  <c r="E7" i="65"/>
  <c r="E7" i="64"/>
  <c r="G7" i="67"/>
  <c r="E7" i="73"/>
  <c r="E7" i="58"/>
  <c r="E7" i="59"/>
  <c r="E7" i="32"/>
  <c r="A26" i="71" l="1"/>
  <c r="A25" i="71"/>
  <c r="A26" i="65"/>
  <c r="A25" i="65"/>
  <c r="A12" i="65"/>
  <c r="A26" i="64"/>
  <c r="A25" i="64"/>
  <c r="A12" i="64"/>
  <c r="A27" i="67"/>
  <c r="A8" i="70" l="1"/>
  <c r="A8" i="66"/>
  <c r="A16" i="73"/>
  <c r="A16" i="58"/>
  <c r="A16" i="59"/>
  <c r="A16" i="32"/>
  <c r="H23" i="71" l="1"/>
  <c r="H21" i="69"/>
  <c r="A12" i="69" l="1"/>
  <c r="A24" i="69"/>
  <c r="A23" i="69" l="1"/>
  <c r="C11" i="2" l="1"/>
  <c r="C7" i="2"/>
  <c r="E54" i="73" l="1"/>
  <c r="A53" i="73"/>
  <c r="C25" i="73"/>
  <c r="D24" i="73"/>
  <c r="D23" i="73"/>
  <c r="J22" i="73"/>
  <c r="F20" i="73"/>
  <c r="C20" i="73"/>
  <c r="F19" i="73"/>
  <c r="E26" i="73" s="1"/>
  <c r="B23" i="71"/>
  <c r="D22" i="71"/>
  <c r="G21" i="71"/>
  <c r="B21" i="71"/>
  <c r="C20" i="71"/>
  <c r="C18" i="71"/>
  <c r="J17" i="71"/>
  <c r="G17" i="71"/>
  <c r="B17" i="71"/>
  <c r="A12" i="71"/>
  <c r="A28" i="70"/>
  <c r="A28" i="66"/>
  <c r="A7" i="66"/>
  <c r="E25" i="70"/>
  <c r="H24" i="70"/>
  <c r="C24" i="70"/>
  <c r="D23" i="70"/>
  <c r="C22" i="70"/>
  <c r="D21" i="70"/>
  <c r="J20" i="70"/>
  <c r="H20" i="70"/>
  <c r="C20" i="70"/>
  <c r="D7" i="2" l="1"/>
  <c r="D22" i="73" s="1"/>
  <c r="A50" i="32" l="1"/>
  <c r="E52" i="59" l="1"/>
  <c r="F4" i="2"/>
  <c r="D22" i="58"/>
  <c r="D22" i="59"/>
  <c r="D22" i="32"/>
  <c r="C24" i="67" l="1"/>
  <c r="E23" i="67"/>
  <c r="B22" i="67"/>
  <c r="L19" i="67"/>
  <c r="I19" i="67"/>
  <c r="B19" i="67"/>
  <c r="H23" i="65" l="1"/>
  <c r="H23" i="64"/>
  <c r="C21" i="67" l="1"/>
  <c r="B21" i="69" l="1"/>
  <c r="D20" i="69"/>
  <c r="G19" i="69"/>
  <c r="B19" i="69"/>
  <c r="C18" i="69"/>
  <c r="C16" i="69"/>
  <c r="J15" i="69"/>
  <c r="G15" i="69"/>
  <c r="B15" i="69"/>
  <c r="E25" i="66" l="1"/>
  <c r="C24" i="66"/>
  <c r="D23" i="66"/>
  <c r="J20" i="66"/>
  <c r="H20" i="66"/>
  <c r="C20" i="66"/>
  <c r="C26" i="67"/>
  <c r="I22" i="67"/>
  <c r="D20" i="67"/>
  <c r="H24" i="66"/>
  <c r="C22" i="66"/>
  <c r="D21" i="66"/>
  <c r="B23" i="65" l="1"/>
  <c r="D22" i="65"/>
  <c r="G21" i="65"/>
  <c r="B21" i="65"/>
  <c r="C20" i="65"/>
  <c r="C18" i="65"/>
  <c r="J17" i="65"/>
  <c r="G17" i="65"/>
  <c r="B17" i="65"/>
  <c r="B23" i="64"/>
  <c r="D22" i="64"/>
  <c r="G21" i="64"/>
  <c r="B21" i="64"/>
  <c r="C20" i="64"/>
  <c r="C18" i="64"/>
  <c r="J17" i="64"/>
  <c r="G17" i="64"/>
  <c r="B17" i="64"/>
  <c r="C25" i="59" l="1"/>
  <c r="D24" i="59"/>
  <c r="D23" i="59"/>
  <c r="J22" i="59"/>
  <c r="F20" i="59"/>
  <c r="C20" i="59"/>
  <c r="F19" i="59"/>
  <c r="E26" i="59" s="1"/>
  <c r="E52" i="58"/>
  <c r="C25" i="58"/>
  <c r="D24" i="58"/>
  <c r="D23" i="58"/>
  <c r="J22" i="58"/>
  <c r="F20" i="58"/>
  <c r="C20" i="58"/>
  <c r="F19" i="58"/>
  <c r="E26" i="58" s="1"/>
  <c r="C20" i="32"/>
  <c r="F19" i="32"/>
  <c r="F20" i="32"/>
  <c r="D5" i="2" l="1"/>
  <c r="C25" i="32" l="1"/>
  <c r="E51" i="32" l="1"/>
  <c r="D24" i="32"/>
  <c r="D23" i="32"/>
  <c r="J22" i="32"/>
  <c r="E26" i="32" l="1"/>
</calcChain>
</file>

<file path=xl/sharedStrings.xml><?xml version="1.0" encoding="utf-8"?>
<sst xmlns="http://schemas.openxmlformats.org/spreadsheetml/2006/main" count="567" uniqueCount="171">
  <si>
    <t>THÔNG TIN CHUNG</t>
  </si>
  <si>
    <t>Cán bộ quản lý hồ sơ:</t>
  </si>
  <si>
    <t>Tên gọi khác:</t>
  </si>
  <si>
    <t>Quê quán:</t>
  </si>
  <si>
    <t>Nơi ĐKTT:</t>
  </si>
  <si>
    <t>Hành vi phạm tội:</t>
  </si>
  <si>
    <t>Dân tộc:</t>
  </si>
  <si>
    <t>Quốc tịch:</t>
  </si>
  <si>
    <t>Nghề nghiệp:</t>
  </si>
  <si>
    <t>Bị bắt ngày:</t>
  </si>
  <si>
    <t>Số hồ sơ:</t>
  </si>
  <si>
    <t>Cấp bậc:</t>
  </si>
  <si>
    <t>Chức vụ:</t>
  </si>
  <si>
    <t>Trung tá</t>
  </si>
  <si>
    <t>Cán bộ</t>
  </si>
  <si>
    <t>Trần Văn Dương</t>
  </si>
  <si>
    <t>CỘNG HÒA XÃ HỘI CHỦ NGHĨA VIỆT NAM</t>
  </si>
  <si>
    <t>BIÊN BẢN</t>
  </si>
  <si>
    <t xml:space="preserve">Hành vi phạm tội: </t>
  </si>
  <si>
    <t xml:space="preserve">Họ và tên: </t>
  </si>
  <si>
    <t>Giới tính:</t>
  </si>
  <si>
    <t>Sinh ngày:</t>
  </si>
  <si>
    <t>Đơn vị thụ lý vụ án:</t>
  </si>
  <si>
    <t>(Ký, ghi rõ họ tên)</t>
  </si>
  <si>
    <t xml:space="preserve"> giờ </t>
  </si>
  <si>
    <t>Án phạt:</t>
  </si>
  <si>
    <t>QUYẾT ĐỊNH</t>
  </si>
  <si>
    <t>Đại uý</t>
  </si>
  <si>
    <t xml:space="preserve">Đơn vị công tác: </t>
  </si>
  <si>
    <t>Dùng cho biên bản giao nhận</t>
  </si>
  <si>
    <t>CÔNG AN TỈNH QUẢNG NINH</t>
  </si>
  <si>
    <t>TRẠI TẠM GIAM</t>
  </si>
  <si>
    <t>Đơn vị:</t>
  </si>
  <si>
    <r>
      <t xml:space="preserve">được </t>
    </r>
    <r>
      <rPr>
        <sz val="8"/>
        <rFont val="Times New Roman"/>
        <family val="1"/>
      </rPr>
      <t>(2)</t>
    </r>
    <r>
      <rPr>
        <sz val="14"/>
        <rFont val="Times New Roman"/>
        <family val="1"/>
      </rPr>
      <t>:</t>
    </r>
  </si>
  <si>
    <t xml:space="preserve"> Nơi ĐKTT:</t>
  </si>
  <si>
    <t xml:space="preserve">   Cấp bậc:</t>
  </si>
  <si>
    <t xml:space="preserve">        Cấp bậc:</t>
  </si>
  <si>
    <r>
      <t xml:space="preserve">                Điều 1. </t>
    </r>
    <r>
      <rPr>
        <sz val="14"/>
        <rFont val="Times New Roman"/>
        <family val="1"/>
      </rPr>
      <t>Giao cho đồng chí:</t>
    </r>
  </si>
  <si>
    <r>
      <t xml:space="preserve">                Điều 2.</t>
    </r>
    <r>
      <rPr>
        <sz val="14"/>
        <rFont val="Times New Roman"/>
        <family val="1"/>
      </rPr>
      <t xml:space="preserve"> Đồng chí:</t>
    </r>
  </si>
  <si>
    <t>có trách nhiệm thực hiện đúng các điều</t>
  </si>
  <si>
    <t xml:space="preserve">        Hành vi phạm tội: </t>
  </si>
  <si>
    <t>LÃNH ĐẠO ĐƠN VỊ</t>
  </si>
  <si>
    <t xml:space="preserve">        trong Thông tư quy định về công tác hồ sơ nghiệp vụ Công an nhân dân.</t>
  </si>
  <si>
    <t>XÁC NHẬN CỦA CÁN BỘ ĐĂNG KÝ HỒ SƠ</t>
  </si>
  <si>
    <t xml:space="preserve">        Chức vụ:</t>
  </si>
  <si>
    <t xml:space="preserve">      Đơn vị:</t>
  </si>
  <si>
    <t xml:space="preserve">              .......................................................................................................................................................</t>
  </si>
  <si>
    <t>..............................................................................................................</t>
  </si>
  <si>
    <t xml:space="preserve">              ngày ........tháng ........ năm .............</t>
  </si>
  <si>
    <t xml:space="preserve">              SỐ ĐĂNG KÝ:</t>
  </si>
  <si>
    <t xml:space="preserve">              Quyển số:.............................................   Tờ số:...........................................................</t>
  </si>
  <si>
    <r>
      <t xml:space="preserve">              </t>
    </r>
    <r>
      <rPr>
        <i/>
        <sz val="11"/>
        <rFont val="Times New Roman"/>
        <family val="1"/>
      </rPr>
      <t xml:space="preserve"> tin nếu có)</t>
    </r>
  </si>
  <si>
    <r>
      <t xml:space="preserve">              đã kiểm tra tíếp nhận: </t>
    </r>
    <r>
      <rPr>
        <i/>
        <sz val="12"/>
        <rFont val="Times New Roman"/>
        <family val="1"/>
      </rPr>
      <t>(Viết cụ thể: Thẻ loại, số lượng thẻ, tình trạng hồ sơ, thiết bị vật mang</t>
    </r>
  </si>
  <si>
    <t xml:space="preserve">              .....................................................................................................................................................</t>
  </si>
  <si>
    <t>CÁN BỘ ĐĂNG KÝ HỒ SƠ</t>
  </si>
  <si>
    <r>
      <t xml:space="preserve">   Về việc </t>
    </r>
    <r>
      <rPr>
        <sz val="10"/>
        <rFont val="Times New Roman"/>
        <family val="1"/>
      </rPr>
      <t xml:space="preserve">(1):  </t>
    </r>
    <r>
      <rPr>
        <b/>
        <sz val="16"/>
        <rFont val="Times New Roman"/>
        <family val="1"/>
      </rPr>
      <t>LẬP HỒ SƠ</t>
    </r>
  </si>
  <si>
    <t>Ngày bắt:</t>
  </si>
  <si>
    <t>STT</t>
  </si>
  <si>
    <t xml:space="preserve">Họ và tên </t>
  </si>
  <si>
    <t>Thứ 2</t>
  </si>
  <si>
    <t>Thứ 3</t>
  </si>
  <si>
    <t>Thứ 4</t>
  </si>
  <si>
    <t>Thứ 5</t>
  </si>
  <si>
    <t>Thứ 6</t>
  </si>
  <si>
    <t>Thứ 7</t>
  </si>
  <si>
    <t>CN</t>
  </si>
  <si>
    <t>Tổng</t>
  </si>
  <si>
    <t>Từ ngày ......../....../....... Đến ngày ....../......./.......</t>
  </si>
  <si>
    <t>Buồng số:</t>
  </si>
  <si>
    <t>BẢNG THEO DÕI TẠM GIỮ NHẬP MỚI</t>
  </si>
  <si>
    <t xml:space="preserve">Chuyển giam
ngày..../...../..... </t>
  </si>
  <si>
    <r>
      <t xml:space="preserve">Gia hạn tạm giữ lần 1
 </t>
    </r>
    <r>
      <rPr>
        <i/>
        <sz val="11"/>
        <color theme="1"/>
        <rFont val="Times New Roman"/>
        <family val="1"/>
      </rPr>
      <t>từ ..../...../..... đến...../..../.....</t>
    </r>
  </si>
  <si>
    <r>
      <t xml:space="preserve">Gia hạn tạm giữ lần 2
</t>
    </r>
    <r>
      <rPr>
        <i/>
        <sz val="11"/>
        <color theme="1"/>
        <rFont val="Times New Roman"/>
        <family val="1"/>
      </rPr>
      <t xml:space="preserve"> từ ..../...../..... đến...../..../....</t>
    </r>
    <r>
      <rPr>
        <sz val="13"/>
        <color theme="1"/>
        <rFont val="Times New Roman"/>
        <family val="1"/>
      </rPr>
      <t>.</t>
    </r>
  </si>
  <si>
    <r>
      <t xml:space="preserve">Quyết định 
Tạm giữ
</t>
    </r>
    <r>
      <rPr>
        <i/>
        <sz val="11"/>
        <color theme="1"/>
        <rFont val="Times New Roman"/>
        <family val="1"/>
      </rPr>
      <t xml:space="preserve"> từ ..../...../..... đến...../..../.....</t>
    </r>
  </si>
  <si>
    <t xml:space="preserve">          - Căn cứ Quy định của Bộ trưởng Bộ Công an về công tác Hồ sơ nghiệp vụ CAND;</t>
  </si>
  <si>
    <t xml:space="preserve">          - Căn cứ chức năng, nhiệm vụ của đơn vị;</t>
  </si>
  <si>
    <t xml:space="preserve">          - Theo yêu cầu công tác.</t>
  </si>
  <si>
    <t xml:space="preserve">            Đã vào sổ đăng ký hồ sơ:</t>
  </si>
  <si>
    <t>(Ký, đóng dấu, ghi rõ họ tên hoặc ký số)</t>
  </si>
  <si>
    <t>LÃNH ĐẠO DUYỆT</t>
  </si>
  <si>
    <t>Thượng tá</t>
  </si>
  <si>
    <r>
      <t xml:space="preserve">Lập hồ sơ </t>
    </r>
    <r>
      <rPr>
        <sz val="14"/>
        <rFont val="Times New Roman"/>
        <family val="1"/>
      </rPr>
      <t>đối với người bị tạm giữ có trích yếu như sau:</t>
    </r>
  </si>
  <si>
    <r>
      <t xml:space="preserve">Kết thúc hồ sơ </t>
    </r>
    <r>
      <rPr>
        <sz val="14"/>
        <rFont val="Times New Roman"/>
        <family val="1"/>
      </rPr>
      <t>đối với người bị tạm giữ có trích yếu như sau:</t>
    </r>
  </si>
  <si>
    <r>
      <t xml:space="preserve">Lập hồ sơ </t>
    </r>
    <r>
      <rPr>
        <sz val="14"/>
        <rFont val="Times New Roman"/>
        <family val="1"/>
      </rPr>
      <t>đối với người bị tạm giam có trích yếu như sau:</t>
    </r>
  </si>
  <si>
    <t>Vào TTG ngày:</t>
  </si>
  <si>
    <t>Độc lập - Tự do - Hạnh phúc</t>
  </si>
  <si>
    <t>Tôi: Đỗ Thanh Xuân</t>
  </si>
  <si>
    <t>Phó Giám thị Trại tạm giam</t>
  </si>
  <si>
    <t>Trại tạm giam Công an tỉnh</t>
  </si>
  <si>
    <t>Đặng Thị Thu Hằng</t>
  </si>
  <si>
    <t>PHÓ GIÁM THỊ</t>
  </si>
  <si>
    <t>Thượng tá Đỗ Thanh Xuân</t>
  </si>
  <si>
    <t>Trại tạm giam - Công an tỉnh Quảng Ninh.</t>
  </si>
  <si>
    <r>
      <t xml:space="preserve">   Về việc </t>
    </r>
    <r>
      <rPr>
        <sz val="10"/>
        <rFont val="Times New Roman"/>
        <family val="1"/>
      </rPr>
      <t xml:space="preserve">(1):  </t>
    </r>
    <r>
      <rPr>
        <b/>
        <sz val="16"/>
        <rFont val="Times New Roman"/>
        <family val="1"/>
      </rPr>
      <t>KẾT THÚC HỒ SƠ</t>
    </r>
  </si>
  <si>
    <t>Độc lập - Tự­ do - Hạnh phúc</t>
  </si>
  <si>
    <t>PC11 - CAT Quảng Ninh.</t>
  </si>
  <si>
    <t>THÔNG BÁO</t>
  </si>
  <si>
    <t>( V/v sắp hết thời hạn tạm giữ)</t>
  </si>
  <si>
    <t xml:space="preserve">     Căn cứ Điểm h, khoản 1, Điều 13 Luật thi hành tạm giữ, tạm giam quy định nhiệm vụ, quyền hạn, của nhà tạm giữ, trại tạm giam;</t>
  </si>
  <si>
    <t>Nơi nhận:</t>
  </si>
  <si>
    <t>- Như trên;</t>
  </si>
  <si>
    <r>
      <t>-</t>
    </r>
    <r>
      <rPr>
        <vertAlign val="superscript"/>
        <sz val="10"/>
        <color rgb="FF000000"/>
        <rFont val="Times New Roman"/>
        <family val="1"/>
      </rPr>
      <t xml:space="preserve"> </t>
    </r>
    <r>
      <rPr>
        <sz val="10"/>
        <color rgb="FF000000"/>
        <rFont val="Times New Roman"/>
        <family val="1"/>
      </rPr>
      <t>VKS cùng cấp (để biết);</t>
    </r>
  </si>
  <si>
    <t>- Lưu hồ sơ người bị TG/TG.</t>
  </si>
  <si>
    <t>Hiện đang giam giữ tại: Trại tạm giam - CAT Quảng Ninh.</t>
  </si>
  <si>
    <t>Lao động tự do.</t>
  </si>
  <si>
    <r>
      <t>Giao nhận người bị tạm</t>
    </r>
    <r>
      <rPr>
        <sz val="14"/>
        <rFont val="Times New Roman"/>
        <family val="1"/>
      </rPr>
      <t xml:space="preserve"> </t>
    </r>
    <r>
      <rPr>
        <b/>
        <sz val="14"/>
        <rFont val="Times New Roman"/>
        <family val="1"/>
      </rPr>
      <t>giữ/tạm giam</t>
    </r>
  </si>
  <si>
    <t xml:space="preserve">     Bên giao:</t>
  </si>
  <si>
    <t xml:space="preserve">Đồng chí: </t>
  </si>
  <si>
    <t xml:space="preserve">Cấp bậc: </t>
  </si>
  <si>
    <t>CM CAND số ......................... Cấp ngày ....../....../....... Đơn vị cấp:.....................................</t>
  </si>
  <si>
    <t xml:space="preserve">     Bên nhận:</t>
  </si>
  <si>
    <t xml:space="preserve">     Tiến hành lập biên bản giao nhận người bị tạm giữ/giam có lai lịch như sau:</t>
  </si>
  <si>
    <t>................................................</t>
  </si>
  <si>
    <t>Thời hạn:</t>
  </si>
  <si>
    <t>................................................................</t>
  </si>
  <si>
    <t>BÊN GIAO</t>
  </si>
  <si>
    <t>BÊN NHẬN</t>
  </si>
  <si>
    <t>(Ký, đóng dấu, ghi rõ họ tên)</t>
  </si>
  <si>
    <t>- Bên giao;</t>
  </si>
  <si>
    <t>- Bên nhận.</t>
  </si>
  <si>
    <t>Bố trí giam giữ</t>
  </si>
  <si>
    <t>GIÁM THỊ TRẠI TẠM GIAM</t>
  </si>
  <si>
    <t xml:space="preserve">     Căn cứ Điều 13 Luật thi hành tạm giữ, tạm giam quy định nhiệm vụ, quyền hạn, của nhà tạm giữ, trại tạm giam;</t>
  </si>
  <si>
    <t xml:space="preserve">     Căn cứ Điều 18 Luật thi hành tạm giữ, tạm giam quy định phân loại quản lý người bị tạm giữ, người bị tạm giam;</t>
  </si>
  <si>
    <t xml:space="preserve">     Xét báo cáo đề xuất của Đội quản giáo - Trại tạm giam.</t>
  </si>
  <si>
    <r>
      <t xml:space="preserve">     Điều 1. </t>
    </r>
    <r>
      <rPr>
        <sz val="14"/>
        <rFont val="Times New Roman"/>
        <family val="1"/>
      </rPr>
      <t>Bố trí giam giữ tại buồng số: .................; nhà................. Khu A.............. đối với người bị tạm giữ/tạm giam có lai lịch sau:</t>
    </r>
  </si>
  <si>
    <t>Sinh năm:</t>
  </si>
  <si>
    <r>
      <t>Vào Trại tạm giam</t>
    </r>
    <r>
      <rPr>
        <sz val="11"/>
        <rFont val="Times New Roman"/>
        <family val="1"/>
      </rPr>
      <t xml:space="preserve"> </t>
    </r>
    <r>
      <rPr>
        <sz val="14"/>
        <rFont val="Times New Roman"/>
        <family val="1"/>
      </rPr>
      <t>ngày:</t>
    </r>
  </si>
  <si>
    <t>Tiền án: 0</t>
  </si>
  <si>
    <t>Tiền sự: 0</t>
  </si>
  <si>
    <t xml:space="preserve">Án phạt: </t>
  </si>
  <si>
    <r>
      <t xml:space="preserve">   </t>
    </r>
    <r>
      <rPr>
        <b/>
        <sz val="14"/>
        <rFont val="Times New Roman"/>
        <family val="1"/>
      </rPr>
      <t xml:space="preserve">  Điều 2.</t>
    </r>
    <r>
      <rPr>
        <sz val="14"/>
        <rFont val="Times New Roman"/>
        <family val="1"/>
      </rPr>
      <t xml:space="preserve"> Quyết định này có hiệu lực kể từ ngày ký, đồng chí Tổ trưởng tổ quản giáo A............ và người có tên tại Điều 1 chịu trách nhiệm thi hành Quyết định này./.</t>
    </r>
  </si>
  <si>
    <t>................................................................................</t>
  </si>
  <si>
    <t>(Ký đóng dấu, ghi rõ họ tên)</t>
  </si>
  <si>
    <t>- Cán bộ đề xuất (để thực hiện);</t>
  </si>
  <si>
    <t>- Lưu hồ sơ người bị TG,TG;</t>
  </si>
  <si>
    <t>GIÁM THỊ</t>
  </si>
  <si>
    <t xml:space="preserve">             - 01 thẻ A2</t>
  </si>
  <si>
    <t xml:space="preserve">             - 01 thẻ A3</t>
  </si>
  <si>
    <t>Đại úy</t>
  </si>
  <si>
    <t>( V/v sắp hết thời hạn tạm giam)</t>
  </si>
  <si>
    <t>Nguyễn Văn Tùng</t>
  </si>
  <si>
    <r>
      <rPr>
        <sz val="14"/>
        <rFont val="Times New Roman"/>
        <family val="1"/>
      </rPr>
      <t xml:space="preserve">Tôi: </t>
    </r>
    <r>
      <rPr>
        <b/>
        <sz val="14"/>
        <rFont val="Times New Roman"/>
        <family val="1"/>
      </rPr>
      <t>Trần Văn Dương</t>
    </r>
  </si>
  <si>
    <t>Đại úy Trần Văn Dương</t>
  </si>
  <si>
    <t>GIÁM THỊ TRẠI TẠM GIAM 
THÔNG BÁO</t>
  </si>
  <si>
    <t xml:space="preserve">  KT. GIÁM THỊ 
 PHÓ GIÁM THỊ</t>
  </si>
  <si>
    <t>NGÀY</t>
  </si>
  <si>
    <t>CƠ QUAN RA QĐ</t>
  </si>
  <si>
    <t>QĐ TẠM GIỮ SÔ</t>
  </si>
  <si>
    <t>Việt Nam</t>
  </si>
  <si>
    <t>……………………………………………………………….</t>
  </si>
  <si>
    <t>…………………………………………………….</t>
  </si>
  <si>
    <t>…………………………………………………………………….</t>
  </si>
  <si>
    <t>Đơn vị công tác: ………………………………………………………………………………………………..</t>
  </si>
  <si>
    <t xml:space="preserve">     Hồi        giờ        phút, ngày 16/12/2025 tại Trại tạm giam - Công an tỉnh.</t>
  </si>
  <si>
    <t>………………………………………</t>
  </si>
  <si>
    <t>………………………………………………………………………………</t>
  </si>
  <si>
    <r>
      <t xml:space="preserve">    Trường hợp giao, nhận</t>
    </r>
    <r>
      <rPr>
        <sz val="10"/>
        <rFont val="Times New Roman"/>
        <family val="1"/>
      </rPr>
      <t xml:space="preserve">: </t>
    </r>
    <r>
      <rPr>
        <sz val="14"/>
        <rFont val="Times New Roman"/>
        <family val="1"/>
      </rPr>
      <t xml:space="preserve"> </t>
    </r>
  </si>
  <si>
    <t>thôn nam hưng đông , xã tây thái ninh, hưng yên</t>
  </si>
  <si>
    <t>Lệnh bắt bị can để tạm giam</t>
  </si>
  <si>
    <t xml:space="preserve"> </t>
  </si>
  <si>
    <t/>
  </si>
  <si>
    <t xml:space="preserve"> Cơ quan CSĐT</t>
  </si>
  <si>
    <t>nguyễn trung hiếu</t>
  </si>
  <si>
    <t xml:space="preserve">06/12/1987 </t>
  </si>
  <si>
    <t>nam hồng , nam sách , hải dương</t>
  </si>
  <si>
    <t>Kinh</t>
  </si>
  <si>
    <t>Lừa đảo chiếm đoạt tài sản</t>
  </si>
  <si>
    <t>16/01/2025</t>
  </si>
  <si>
    <t>Nam</t>
  </si>
  <si>
    <t>PC02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</si>
</sst>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7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rgb="FFFF0000"/>
      <name val="Times New Roman"/>
      <family val="1"/>
    </font>
    <font>
      <b/>
      <sz val="13"/>
      <color theme="1"/>
      <name val="Times New Roman"/>
      <family val="1"/>
    </font>
    <font>
      <sz val="8"/>
      <name val="Calibri"/>
      <family val="2"/>
      <scheme val="minor"/>
    </font>
    <font>
      <sz val="13"/>
      <color theme="1"/>
      <name val="Times New Roman"/>
      <family val="1"/>
    </font>
    <font>
      <sz val="14"/>
      <color rgb="FF0000CC"/>
      <name val="Times New Roman"/>
      <family val="1"/>
    </font>
    <font>
      <sz val="13.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3"/>
      <color rgb="FF0000CC"/>
      <name val="Times New Roman"/>
      <family val="1"/>
    </font>
    <font>
      <sz val="13"/>
      <color rgb="FF0000CC"/>
      <name val="Times New Roman"/>
      <family val="1"/>
    </font>
    <font>
      <b/>
      <sz val="13"/>
      <color rgb="FFFF0000"/>
      <name val="Times New Roman"/>
      <family val="1"/>
    </font>
    <font>
      <sz val="13"/>
      <color rgb="FFFF0000"/>
      <name val="Times New Roman"/>
      <family val="1"/>
    </font>
    <font>
      <b/>
      <sz val="14"/>
      <name val="Times New Roman"/>
      <family val="1"/>
    </font>
    <font>
      <sz val="11"/>
      <name val="Calibri"/>
      <family val="2"/>
      <scheme val="minor"/>
    </font>
    <font>
      <sz val="14"/>
      <name val="Times New Roman"/>
      <family val="1"/>
    </font>
    <font>
      <b/>
      <sz val="13"/>
      <name val="Times New Roman"/>
      <family val="1"/>
    </font>
    <font>
      <sz val="10"/>
      <name val="Times New Roman"/>
      <family val="1"/>
    </font>
    <font>
      <sz val="13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i/>
      <sz val="10"/>
      <name val="Times New Roman"/>
      <family val="1"/>
    </font>
    <font>
      <sz val="11"/>
      <name val="Times New Roman"/>
      <family val="1"/>
    </font>
    <font>
      <i/>
      <sz val="11"/>
      <name val="Times New Roman"/>
      <family val="1"/>
    </font>
    <font>
      <sz val="8"/>
      <name val="Times New Roman"/>
      <family val="1"/>
    </font>
    <font>
      <b/>
      <i/>
      <sz val="14"/>
      <name val="Times New Roman"/>
      <family val="1"/>
    </font>
    <font>
      <b/>
      <sz val="13.5"/>
      <name val="Times New Roman"/>
      <family val="1"/>
    </font>
    <font>
      <b/>
      <sz val="11"/>
      <color rgb="FFFF0000"/>
      <name val="Times New Roman"/>
      <family val="1"/>
    </font>
    <font>
      <i/>
      <sz val="13"/>
      <color theme="1"/>
      <name val="Times New Roman"/>
      <family val="1"/>
    </font>
    <font>
      <i/>
      <sz val="11"/>
      <color theme="1"/>
      <name val="Times New Roman"/>
      <family val="1"/>
    </font>
    <font>
      <sz val="13.5"/>
      <name val="Times New Roman"/>
      <family val="1"/>
    </font>
    <font>
      <b/>
      <sz val="14"/>
      <color rgb="FF0000CC"/>
      <name val="Times New Roman"/>
      <family val="1"/>
    </font>
    <font>
      <i/>
      <sz val="14"/>
      <name val="Times New Roman"/>
      <family val="1"/>
    </font>
    <font>
      <b/>
      <sz val="14"/>
      <color rgb="FFFF0000"/>
      <name val="Times New Roman"/>
      <family val="1"/>
    </font>
    <font>
      <b/>
      <sz val="11.5"/>
      <name val="Times New Roman"/>
      <family val="1"/>
    </font>
    <font>
      <sz val="14"/>
      <name val="Calibri"/>
      <family val="2"/>
      <scheme val="minor"/>
    </font>
    <font>
      <i/>
      <sz val="12"/>
      <name val="Times New Roman"/>
      <family val="1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6"/>
      <name val="Times New Roman"/>
      <family val="1"/>
    </font>
    <font>
      <b/>
      <sz val="16"/>
      <color theme="1"/>
      <name val="Times New Roman"/>
      <family val="1"/>
    </font>
    <font>
      <b/>
      <sz val="10"/>
      <color theme="1"/>
      <name val="Times New Roman"/>
      <family val="1"/>
    </font>
    <font>
      <sz val="12"/>
      <color rgb="FFFF0000"/>
      <name val="Times New Roman"/>
      <family val="1"/>
    </font>
    <font>
      <b/>
      <sz val="11"/>
      <name val="Times New Roman"/>
      <family val="1"/>
    </font>
    <font>
      <b/>
      <i/>
      <sz val="11"/>
      <name val="Times New Roman"/>
      <family val="1"/>
    </font>
    <font>
      <b/>
      <i/>
      <sz val="10"/>
      <color theme="1"/>
      <name val="Times New Roman"/>
      <family val="1"/>
    </font>
    <font>
      <sz val="10"/>
      <name val="Calibri"/>
      <family val="2"/>
      <scheme val="minor"/>
    </font>
    <font>
      <sz val="10"/>
      <color theme="1"/>
      <name val="Times New Roman"/>
      <family val="1"/>
    </font>
    <font>
      <sz val="10"/>
      <color rgb="FF000000"/>
      <name val="Times New Roman"/>
      <family val="1"/>
    </font>
    <font>
      <vertAlign val="superscript"/>
      <sz val="10"/>
      <color rgb="FF000000"/>
      <name val="Times New Roman"/>
      <family val="1"/>
    </font>
    <font>
      <sz val="11"/>
      <color rgb="FF0000CC"/>
      <name val="Calibri"/>
      <family val="2"/>
      <scheme val="minor"/>
    </font>
    <font>
      <sz val="14"/>
      <color theme="0"/>
      <name val="Times New Roman"/>
      <family val="1"/>
    </font>
    <font>
      <sz val="14"/>
      <color rgb="FF0000CC"/>
      <name val="Calibri"/>
      <family val="2"/>
      <scheme val="minor"/>
    </font>
    <font>
      <b/>
      <sz val="11"/>
      <color theme="1"/>
      <name val="Times New Roman"/>
      <family val="1"/>
    </font>
    <font>
      <u/>
      <sz val="14"/>
      <name val="Times New Roman"/>
      <family val="1"/>
    </font>
    <font>
      <sz val="12"/>
      <color rgb="FF00000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1">
    <xf numFmtId="0" fontId="0" fillId="0" borderId="0"/>
  </cellStyleXfs>
  <cellXfs count="192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7" fillId="0" borderId="0" xfId="0" applyFont="1"/>
    <xf numFmtId="0" fontId="1" fillId="0" borderId="4" xfId="0" applyFont="1" applyBorder="1"/>
    <xf numFmtId="0" fontId="3" fillId="0" borderId="4" xfId="0" applyFont="1" applyBorder="1"/>
    <xf numFmtId="0" fontId="8" fillId="0" borderId="4" xfId="0" applyFont="1" applyBorder="1"/>
    <xf numFmtId="0" fontId="6" fillId="2" borderId="5" xfId="0" applyFont="1" applyFill="1" applyBorder="1"/>
    <xf numFmtId="0" fontId="4" fillId="2" borderId="0" xfId="0" applyFont="1" applyFill="1"/>
    <xf numFmtId="0" fontId="4" fillId="2" borderId="2" xfId="0" applyFont="1" applyFill="1" applyBorder="1" applyAlignment="1">
      <alignment vertical="center" wrapText="1"/>
    </xf>
    <xf numFmtId="0" fontId="6" fillId="0" borderId="0" xfId="0" applyFont="1"/>
    <xf numFmtId="0" fontId="6" fillId="0" borderId="5" xfId="0" applyFont="1" applyBorder="1"/>
    <xf numFmtId="0" fontId="6" fillId="0" borderId="3" xfId="0" applyFont="1" applyBorder="1"/>
    <xf numFmtId="0" fontId="4" fillId="0" borderId="3" xfId="0" applyFont="1" applyBorder="1"/>
    <xf numFmtId="0" fontId="12" fillId="0" borderId="0" xfId="0" applyFont="1"/>
    <xf numFmtId="0" fontId="6" fillId="0" borderId="4" xfId="0" applyFont="1" applyBorder="1"/>
    <xf numFmtId="0" fontId="6" fillId="0" borderId="4" xfId="0" applyFont="1" applyBorder="1" applyAlignment="1">
      <alignment horizontal="right"/>
    </xf>
    <xf numFmtId="0" fontId="11" fillId="0" borderId="4" xfId="0" applyFont="1" applyBorder="1"/>
    <xf numFmtId="0" fontId="4" fillId="5" borderId="4" xfId="0" applyFont="1" applyFill="1" applyBorder="1"/>
    <xf numFmtId="0" fontId="11" fillId="5" borderId="4" xfId="0" applyFont="1" applyFill="1" applyBorder="1"/>
    <xf numFmtId="0" fontId="14" fillId="0" borderId="0" xfId="0" applyFont="1" applyAlignment="1">
      <alignment horizontal="center"/>
    </xf>
    <xf numFmtId="0" fontId="14" fillId="0" borderId="0" xfId="0" applyFont="1"/>
    <xf numFmtId="0" fontId="15" fillId="0" borderId="0" xfId="0" applyFont="1"/>
    <xf numFmtId="0" fontId="16" fillId="0" borderId="0" xfId="0" applyFont="1" applyAlignment="1">
      <alignment horizontal="justify" vertical="center"/>
    </xf>
    <xf numFmtId="0" fontId="16" fillId="0" borderId="0" xfId="0" applyFont="1"/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8" fillId="0" borderId="0" xfId="0" quotePrefix="1" applyFont="1" applyAlignment="1">
      <alignment vertical="center"/>
    </xf>
    <xf numFmtId="0" fontId="16" fillId="0" borderId="0" xfId="0" applyFont="1" applyAlignment="1">
      <alignment horizontal="right"/>
    </xf>
    <xf numFmtId="0" fontId="22" fillId="0" borderId="0" xfId="0" applyFont="1" applyAlignment="1">
      <alignment vertical="center" wrapText="1"/>
    </xf>
    <xf numFmtId="0" fontId="26" fillId="0" borderId="0" xfId="0" applyFont="1"/>
    <xf numFmtId="0" fontId="12" fillId="0" borderId="3" xfId="0" applyFont="1" applyBorder="1"/>
    <xf numFmtId="0" fontId="28" fillId="0" borderId="3" xfId="0" applyFont="1" applyBorder="1"/>
    <xf numFmtId="0" fontId="13" fillId="0" borderId="3" xfId="0" applyFont="1" applyBorder="1"/>
    <xf numFmtId="0" fontId="10" fillId="0" borderId="4" xfId="0" applyFont="1" applyBorder="1"/>
    <xf numFmtId="0" fontId="16" fillId="0" borderId="0" xfId="0" applyFont="1" applyAlignment="1">
      <alignment vertical="center"/>
    </xf>
    <xf numFmtId="0" fontId="4" fillId="6" borderId="4" xfId="0" applyFont="1" applyFill="1" applyBorder="1"/>
    <xf numFmtId="0" fontId="16" fillId="0" borderId="0" xfId="0" applyFont="1" applyAlignment="1">
      <alignment horizontal="center"/>
    </xf>
    <xf numFmtId="0" fontId="33" fillId="0" borderId="0" xfId="0" applyFont="1" applyAlignment="1">
      <alignment horizontal="right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31" fillId="0" borderId="0" xfId="0" applyFont="1"/>
    <xf numFmtId="0" fontId="36" fillId="0" borderId="0" xfId="0" applyFont="1"/>
    <xf numFmtId="0" fontId="38" fillId="0" borderId="0" xfId="0" applyFont="1"/>
    <xf numFmtId="0" fontId="34" fillId="0" borderId="0" xfId="0" applyFont="1"/>
    <xf numFmtId="0" fontId="39" fillId="0" borderId="0" xfId="0" applyFont="1"/>
    <xf numFmtId="0" fontId="37" fillId="0" borderId="0" xfId="0" applyFont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6" borderId="3" xfId="0" applyFont="1" applyFill="1" applyBorder="1"/>
    <xf numFmtId="0" fontId="11" fillId="7" borderId="4" xfId="0" applyFont="1" applyFill="1" applyBorder="1"/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27" fillId="0" borderId="0" xfId="0" applyFont="1"/>
    <xf numFmtId="0" fontId="23" fillId="0" borderId="0" xfId="0" applyFont="1"/>
    <xf numFmtId="0" fontId="42" fillId="2" borderId="2" xfId="0" applyFont="1" applyFill="1" applyBorder="1" applyAlignment="1">
      <alignment vertical="center" wrapText="1"/>
    </xf>
    <xf numFmtId="0" fontId="43" fillId="0" borderId="3" xfId="0" applyFont="1" applyBorder="1"/>
    <xf numFmtId="14" fontId="16" fillId="0" borderId="0" xfId="0" applyNumberFormat="1" applyFont="1"/>
    <xf numFmtId="0" fontId="6" fillId="0" borderId="4" xfId="0" quotePrefix="1" applyFont="1" applyBorder="1"/>
    <xf numFmtId="0" fontId="29" fillId="4" borderId="6" xfId="0" applyFont="1" applyFill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29" fillId="4" borderId="7" xfId="0" applyFont="1" applyFill="1" applyBorder="1" applyAlignment="1">
      <alignment horizontal="center"/>
    </xf>
    <xf numFmtId="0" fontId="13" fillId="0" borderId="4" xfId="0" applyFont="1" applyBorder="1"/>
    <xf numFmtId="0" fontId="16" fillId="0" borderId="0" xfId="0" applyFont="1" applyAlignment="1">
      <alignment horizontal="center"/>
    </xf>
    <xf numFmtId="0" fontId="33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16" fillId="0" borderId="0" xfId="0" applyFont="1" applyAlignment="1">
      <alignment horizontal="justify" vertical="center"/>
    </xf>
    <xf numFmtId="0" fontId="19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right"/>
    </xf>
    <xf numFmtId="0" fontId="21" fillId="0" borderId="0" xfId="0" applyFont="1" applyAlignment="1">
      <alignment horizontal="center" vertical="center" wrapText="1"/>
    </xf>
    <xf numFmtId="0" fontId="16" fillId="0" borderId="0" xfId="0" applyFont="1" applyAlignment="1">
      <alignment horizontal="justify" vertical="center"/>
    </xf>
    <xf numFmtId="0" fontId="33" fillId="0" borderId="0" xfId="0" applyFont="1" applyAlignment="1">
      <alignment horizontal="right"/>
    </xf>
    <xf numFmtId="0" fontId="17" fillId="0" borderId="0" xfId="0" applyFont="1"/>
    <xf numFmtId="0" fontId="20" fillId="0" borderId="0" xfId="0" applyFont="1"/>
    <xf numFmtId="0" fontId="46" fillId="0" borderId="0" xfId="0" applyFont="1" applyAlignment="1">
      <alignment horizontal="justify" vertical="center"/>
    </xf>
    <xf numFmtId="0" fontId="47" fillId="0" borderId="0" xfId="0" applyFont="1"/>
    <xf numFmtId="0" fontId="48" fillId="0" borderId="0" xfId="0" applyFont="1" applyAlignment="1">
      <alignment horizontal="justify" vertical="center"/>
    </xf>
    <xf numFmtId="0" fontId="49" fillId="0" borderId="0" xfId="0" applyFont="1" applyAlignment="1">
      <alignment horizontal="left" vertical="center"/>
    </xf>
    <xf numFmtId="0" fontId="47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14" fillId="0" borderId="0" xfId="0" applyFont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21" fillId="0" borderId="0" xfId="0" applyFont="1" applyAlignment="1">
      <alignment horizontal="center" vertical="center" wrapText="1"/>
    </xf>
    <xf numFmtId="0" fontId="16" fillId="0" borderId="0" xfId="0" applyFont="1" applyAlignment="1">
      <alignment horizontal="justify" vertical="center"/>
    </xf>
    <xf numFmtId="0" fontId="33" fillId="0" borderId="0" xfId="0" applyFont="1" applyAlignment="1">
      <alignment horizontal="right"/>
    </xf>
    <xf numFmtId="0" fontId="51" fillId="0" borderId="0" xfId="0" applyFont="1"/>
    <xf numFmtId="0" fontId="32" fillId="0" borderId="0" xfId="0" applyFont="1"/>
    <xf numFmtId="0" fontId="52" fillId="0" borderId="0" xfId="0" applyFont="1"/>
    <xf numFmtId="0" fontId="45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53" fillId="0" borderId="0" xfId="0" applyFont="1"/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3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horizontal="justify" vertical="center"/>
    </xf>
    <xf numFmtId="0" fontId="16" fillId="0" borderId="0" xfId="0" applyFont="1" applyAlignment="1">
      <alignment horizontal="right"/>
    </xf>
    <xf numFmtId="0" fontId="21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44" fillId="0" borderId="0" xfId="0" applyFont="1"/>
    <xf numFmtId="0" fontId="55" fillId="0" borderId="0" xfId="0" applyFont="1"/>
    <xf numFmtId="0" fontId="6" fillId="6" borderId="4" xfId="0" quotePrefix="1" applyFont="1" applyFill="1" applyBorder="1"/>
    <xf numFmtId="0" fontId="14" fillId="0" borderId="0" xfId="0" applyFont="1" applyAlignment="1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33" fillId="0" borderId="0" xfId="0" applyFont="1" applyAlignment="1">
      <alignment horizontal="justify" vertical="center"/>
    </xf>
    <xf numFmtId="49" fontId="13" fillId="0" borderId="4" xfId="0" applyNumberFormat="1" applyFont="1" applyBorder="1"/>
    <xf numFmtId="0" fontId="6" fillId="0" borderId="6" xfId="0" applyFont="1" applyBorder="1"/>
    <xf numFmtId="0" fontId="13" fillId="4" borderId="11" xfId="0" applyFont="1" applyFill="1" applyBorder="1"/>
    <xf numFmtId="0" fontId="6" fillId="4" borderId="11" xfId="0" applyFont="1" applyFill="1" applyBorder="1"/>
    <xf numFmtId="0" fontId="19" fillId="4" borderId="3" xfId="0" applyFont="1" applyFill="1" applyBorder="1" applyAlignment="1">
      <alignment horizontal="center"/>
    </xf>
    <xf numFmtId="49" fontId="16" fillId="0" borderId="0" xfId="0" applyNumberFormat="1" applyFont="1"/>
    <xf numFmtId="0" fontId="14" fillId="0" borderId="0" xfId="0" applyFont="1" applyAlignment="1">
      <alignment horizontal="center" vertical="center" wrapText="1"/>
    </xf>
    <xf numFmtId="0" fontId="13" fillId="6" borderId="4" xfId="0" quotePrefix="1" applyFont="1" applyFill="1" applyBorder="1" applyAlignment="1">
      <alignment horizontal="left"/>
    </xf>
    <xf numFmtId="49" fontId="11" fillId="0" borderId="4" xfId="0" quotePrefix="1" applyNumberFormat="1" applyFont="1" applyBorder="1" applyAlignment="1">
      <alignment horizontal="left"/>
    </xf>
    <xf numFmtId="49" fontId="19" fillId="4" borderId="3" xfId="0" quotePrefix="1" applyNumberFormat="1" applyFont="1" applyFill="1" applyBorder="1" applyAlignment="1">
      <alignment horizontal="center"/>
    </xf>
    <xf numFmtId="0" fontId="11" fillId="5" borderId="4" xfId="0" quotePrefix="1" applyFont="1" applyFill="1" applyBorder="1" applyAlignment="1">
      <alignment horizontal="left"/>
    </xf>
    <xf numFmtId="0" fontId="54" fillId="0" borderId="4" xfId="0" quotePrefix="1" applyFont="1" applyBorder="1" applyAlignment="1">
      <alignment horizontal="left"/>
    </xf>
    <xf numFmtId="0" fontId="56" fillId="0" borderId="0" xfId="0" quotePrefix="1" applyFont="1" applyAlignment="1">
      <alignment horizontal="left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4" fillId="0" borderId="0" xfId="0" applyFont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21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justify" vertical="center"/>
    </xf>
    <xf numFmtId="0" fontId="33" fillId="0" borderId="0" xfId="0" applyFont="1" applyAlignment="1">
      <alignment horizontal="right"/>
    </xf>
    <xf numFmtId="0" fontId="20" fillId="0" borderId="0" xfId="0" applyFont="1" applyAlignment="1">
      <alignment horizontal="center" vertical="center" wrapText="1"/>
    </xf>
    <xf numFmtId="0" fontId="33" fillId="0" borderId="0" xfId="0" applyFont="1" applyAlignment="1">
      <alignment horizontal="justify" vertical="center"/>
    </xf>
    <xf numFmtId="0" fontId="4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9" fillId="4" borderId="0" xfId="0" applyFont="1" applyFill="1" applyAlignment="1">
      <alignment horizontal="center"/>
    </xf>
    <xf numFmtId="0" fontId="29" fillId="4" borderId="6" xfId="0" applyFont="1" applyFill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29" fillId="4" borderId="7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right" indent="1"/>
    </xf>
    <xf numFmtId="0" fontId="16" fillId="0" borderId="0" xfId="0" applyFont="1" applyAlignment="1">
      <alignment horizontal="center"/>
    </xf>
    <xf numFmtId="0" fontId="33" fillId="0" borderId="0" xfId="0" applyFont="1" applyAlignment="1">
      <alignment horizontal="right"/>
    </xf>
    <xf numFmtId="0" fontId="20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justify" vertical="center"/>
    </xf>
    <xf numFmtId="0" fontId="1" fillId="0" borderId="0" xfId="0" applyFont="1" applyAlignment="1">
      <alignment horizontal="justify" vertical="center"/>
    </xf>
    <xf numFmtId="0" fontId="14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21" fillId="0" borderId="0" xfId="0" applyFont="1" applyAlignment="1">
      <alignment horizontal="center" vertical="center" wrapText="1"/>
    </xf>
    <xf numFmtId="14" fontId="16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0" fontId="37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14" fillId="0" borderId="0" xfId="0" applyFont="1" applyAlignment="1">
      <alignment horizontal="center" wrapText="1"/>
    </xf>
    <xf numFmtId="0" fontId="33" fillId="0" borderId="0" xfId="0" applyFont="1" applyAlignment="1">
      <alignment horizontal="justify" vertical="center"/>
    </xf>
    <xf numFmtId="0" fontId="14" fillId="0" borderId="0" xfId="0" applyFont="1" applyAlignment="1">
      <alignment horizontal="justify" vertical="center"/>
    </xf>
    <xf numFmtId="49" fontId="16" fillId="0" borderId="0" xfId="0" applyNumberFormat="1" applyFont="1" applyAlignment="1">
      <alignment horizontal="left"/>
    </xf>
    <xf numFmtId="0" fontId="52" fillId="0" borderId="0" xfId="0" applyFont="1" applyAlignment="1">
      <alignment horizontal="left" vertical="center"/>
    </xf>
    <xf numFmtId="0" fontId="20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wrapText="1"/>
    </xf>
    <xf numFmtId="0" fontId="26" fillId="0" borderId="0" xfId="0" applyFont="1" applyAlignment="1">
      <alignment horizontal="center"/>
    </xf>
    <xf numFmtId="0" fontId="33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/>
    </xf>
    <xf numFmtId="0" fontId="16" fillId="3" borderId="0" xfId="0" applyFont="1" applyFill="1" applyAlignment="1">
      <alignment horizontal="justify" vertical="center"/>
    </xf>
    <xf numFmtId="0" fontId="16" fillId="0" borderId="0" xfId="0" applyFont="1" applyAlignment="1">
      <alignment horizontal="left" vertical="center" wrapText="1"/>
    </xf>
    <xf numFmtId="0" fontId="15" fillId="0" borderId="0" xfId="0" applyFont="1" applyAlignment="1">
      <alignment horizontal="center"/>
    </xf>
    <xf numFmtId="0" fontId="33" fillId="0" borderId="0" xfId="0" applyFont="1" applyAlignment="1"/>
    <xf numFmtId="0" fontId="3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  <color rgb="FFF8CBAD"/>
      <color rgb="FF0000CC"/>
      <color rgb="FF66FF66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1.LAPHS!A1"/><Relationship Id="rId2" Type="http://schemas.openxmlformats.org/officeDocument/2006/relationships/hyperlink" Target="#'5.NX1'!A1"/><Relationship Id="rId1" Type="http://schemas.openxmlformats.org/officeDocument/2006/relationships/hyperlink" Target="#TTCHUNG!A1"/><Relationship Id="rId5" Type="http://schemas.openxmlformats.org/officeDocument/2006/relationships/hyperlink" Target="#'PC22'!A1"/><Relationship Id="rId4" Type="http://schemas.openxmlformats.org/officeDocument/2006/relationships/hyperlink" Target="#TONGDAT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PC22'!A1"/><Relationship Id="rId3" Type="http://schemas.openxmlformats.org/officeDocument/2006/relationships/hyperlink" Target="#B3.TKHS!A1"/><Relationship Id="rId7" Type="http://schemas.openxmlformats.org/officeDocument/2006/relationships/hyperlink" Target="#TONGDAT!A1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#B1.LAPHS!A1"/><Relationship Id="rId5" Type="http://schemas.openxmlformats.org/officeDocument/2006/relationships/hyperlink" Target="#'5.NX1'!A1"/><Relationship Id="rId4" Type="http://schemas.openxmlformats.org/officeDocument/2006/relationships/hyperlink" Target="#TTCHUNG!A1"/><Relationship Id="rId9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5.NX1'!A1"/><Relationship Id="rId7" Type="http://schemas.openxmlformats.org/officeDocument/2006/relationships/image" Target="../media/image3.jpeg"/><Relationship Id="rId2" Type="http://schemas.openxmlformats.org/officeDocument/2006/relationships/hyperlink" Target="#TTCHUNG!A1"/><Relationship Id="rId1" Type="http://schemas.openxmlformats.org/officeDocument/2006/relationships/hyperlink" Target="#B3.TKHS!A1"/><Relationship Id="rId6" Type="http://schemas.openxmlformats.org/officeDocument/2006/relationships/hyperlink" Target="#'PC22'!A1"/><Relationship Id="rId5" Type="http://schemas.openxmlformats.org/officeDocument/2006/relationships/hyperlink" Target="#TONGDAT!A1"/><Relationship Id="rId4" Type="http://schemas.openxmlformats.org/officeDocument/2006/relationships/hyperlink" Target="#B1.LAPHS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'5.NX1'!A1"/><Relationship Id="rId7" Type="http://schemas.openxmlformats.org/officeDocument/2006/relationships/image" Target="../media/image3.jpeg"/><Relationship Id="rId2" Type="http://schemas.openxmlformats.org/officeDocument/2006/relationships/hyperlink" Target="#TTCHUNG!A1"/><Relationship Id="rId1" Type="http://schemas.openxmlformats.org/officeDocument/2006/relationships/hyperlink" Target="#B3.TKHS!A1"/><Relationship Id="rId6" Type="http://schemas.openxmlformats.org/officeDocument/2006/relationships/hyperlink" Target="#'PC22'!A1"/><Relationship Id="rId5" Type="http://schemas.openxmlformats.org/officeDocument/2006/relationships/hyperlink" Target="#TONGDAT!A1"/><Relationship Id="rId4" Type="http://schemas.openxmlformats.org/officeDocument/2006/relationships/hyperlink" Target="#B1.LAPHS!A1"/><Relationship Id="rId9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PC22'!A1"/><Relationship Id="rId3" Type="http://schemas.openxmlformats.org/officeDocument/2006/relationships/hyperlink" Target="#B3.TKHS!A1"/><Relationship Id="rId7" Type="http://schemas.openxmlformats.org/officeDocument/2006/relationships/hyperlink" Target="#TONGDAT!A1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#B1.LAPHS!A1"/><Relationship Id="rId5" Type="http://schemas.openxmlformats.org/officeDocument/2006/relationships/hyperlink" Target="#'5.NX1'!A1"/><Relationship Id="rId4" Type="http://schemas.openxmlformats.org/officeDocument/2006/relationships/hyperlink" Target="#TTCHUNG!A1"/><Relationship Id="rId9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17" Type="http://schemas.openxmlformats.org/officeDocument/2006/relationships/image" Target="../media/image2.jpeg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17" Type="http://schemas.openxmlformats.org/officeDocument/2006/relationships/image" Target="../media/image3.jpeg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17" Type="http://schemas.openxmlformats.org/officeDocument/2006/relationships/image" Target="../media/image3.jpeg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17" Type="http://schemas.openxmlformats.org/officeDocument/2006/relationships/image" Target="../media/image3.jpeg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123825</xdr:colOff>
      <xdr:row>3</xdr:row>
      <xdr:rowOff>66675</xdr:rowOff>
    </xdr:from>
    <xdr:to>
      <xdr:col>9</xdr:col>
      <xdr:colOff>161925</xdr:colOff>
      <xdr:row>4</xdr:row>
      <xdr:rowOff>123825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0631DC-03CE-417C-BA97-7EC19D80EFD4}"/>
            </a:ext>
          </a:extLst>
        </xdr:cNvPr>
        <xdr:cNvSpPr/>
      </xdr:nvSpPr>
      <xdr:spPr>
        <a:xfrm>
          <a:off x="9277350" y="609600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133350</xdr:colOff>
      <xdr:row>13</xdr:row>
      <xdr:rowOff>66675</xdr:rowOff>
    </xdr:from>
    <xdr:to>
      <xdr:col>9</xdr:col>
      <xdr:colOff>171450</xdr:colOff>
      <xdr:row>14</xdr:row>
      <xdr:rowOff>123825</xdr:rowOff>
    </xdr:to>
    <xdr:sp macro="" textlink="">
      <xdr:nvSpPr>
        <xdr:cNvPr id="8" name="Rectangle: Rounded Corner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56A3B68-11C1-4037-B99F-61511B91352D}"/>
            </a:ext>
          </a:extLst>
        </xdr:cNvPr>
        <xdr:cNvSpPr/>
      </xdr:nvSpPr>
      <xdr:spPr>
        <a:xfrm>
          <a:off x="9286875" y="270510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323850</xdr:colOff>
      <xdr:row>3</xdr:row>
      <xdr:rowOff>76200</xdr:rowOff>
    </xdr:from>
    <xdr:to>
      <xdr:col>11</xdr:col>
      <xdr:colOff>361950</xdr:colOff>
      <xdr:row>4</xdr:row>
      <xdr:rowOff>133350</xdr:rowOff>
    </xdr:to>
    <xdr:sp macro="" textlink="">
      <xdr:nvSpPr>
        <xdr:cNvPr id="21" name="Rectangle: Rounded Corners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958695-6CBE-4933-9214-2EFFA1135FEF}"/>
            </a:ext>
          </a:extLst>
        </xdr:cNvPr>
        <xdr:cNvSpPr/>
      </xdr:nvSpPr>
      <xdr:spPr>
        <a:xfrm>
          <a:off x="10696575" y="6191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333375</xdr:colOff>
      <xdr:row>7</xdr:row>
      <xdr:rowOff>57150</xdr:rowOff>
    </xdr:from>
    <xdr:to>
      <xdr:col>11</xdr:col>
      <xdr:colOff>371475</xdr:colOff>
      <xdr:row>8</xdr:row>
      <xdr:rowOff>114300</xdr:rowOff>
    </xdr:to>
    <xdr:sp macro="" textlink="">
      <xdr:nvSpPr>
        <xdr:cNvPr id="23" name="Rectangle: Rounded Corners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C6DD318-DD48-452D-A5DA-199CFBD8A799}"/>
            </a:ext>
          </a:extLst>
        </xdr:cNvPr>
        <xdr:cNvSpPr/>
      </xdr:nvSpPr>
      <xdr:spPr>
        <a:xfrm>
          <a:off x="10706100" y="14382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342900</xdr:colOff>
      <xdr:row>15</xdr:row>
      <xdr:rowOff>76200</xdr:rowOff>
    </xdr:from>
    <xdr:to>
      <xdr:col>11</xdr:col>
      <xdr:colOff>381000</xdr:colOff>
      <xdr:row>16</xdr:row>
      <xdr:rowOff>133350</xdr:rowOff>
    </xdr:to>
    <xdr:sp macro="" textlink="">
      <xdr:nvSpPr>
        <xdr:cNvPr id="27" name="Rectangle: Rounded Corners 2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4479D45-B239-43C8-B3A9-09682830E5AA}"/>
            </a:ext>
          </a:extLst>
        </xdr:cNvPr>
        <xdr:cNvSpPr/>
      </xdr:nvSpPr>
      <xdr:spPr>
        <a:xfrm>
          <a:off x="10715625" y="31337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561976</xdr:colOff>
      <xdr:row>70</xdr:row>
      <xdr:rowOff>66675</xdr:rowOff>
    </xdr:from>
    <xdr:to>
      <xdr:col>10</xdr:col>
      <xdr:colOff>159868</xdr:colOff>
      <xdr:row>75</xdr:row>
      <xdr:rowOff>228195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Photocopy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9951" y="17830800"/>
          <a:ext cx="2931642" cy="1352145"/>
        </a:xfrm>
        <a:prstGeom prst="rect">
          <a:avLst/>
        </a:prstGeom>
        <a:ln>
          <a:noFill/>
        </a:ln>
        <a:effectLst/>
      </xdr:spPr>
    </xdr:pic>
    <xdr:clientData/>
  </xdr:twoCellAnchor>
  <xdr:twoCellAnchor>
    <xdr:from>
      <xdr:col>5</xdr:col>
      <xdr:colOff>558057</xdr:colOff>
      <xdr:row>5</xdr:row>
      <xdr:rowOff>28575</xdr:rowOff>
    </xdr:from>
    <xdr:to>
      <xdr:col>9</xdr:col>
      <xdr:colOff>0</xdr:colOff>
      <xdr:row>5</xdr:row>
      <xdr:rowOff>38100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D6FC9145-730E-4F86-89E9-DC15FAC26ED4}"/>
            </a:ext>
          </a:extLst>
        </xdr:cNvPr>
        <xdr:cNvSpPr>
          <a:spLocks noChangeShapeType="1"/>
        </xdr:cNvSpPr>
      </xdr:nvSpPr>
      <xdr:spPr bwMode="auto">
        <a:xfrm flipV="1">
          <a:off x="3406032" y="990600"/>
          <a:ext cx="1518393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314326</xdr:colOff>
      <xdr:row>0</xdr:row>
      <xdr:rowOff>1</xdr:rowOff>
    </xdr:from>
    <xdr:to>
      <xdr:col>10</xdr:col>
      <xdr:colOff>145120</xdr:colOff>
      <xdr:row>3</xdr:row>
      <xdr:rowOff>28576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8C593432-B0BC-4515-8512-6A5693F555E9}"/>
            </a:ext>
          </a:extLst>
        </xdr:cNvPr>
        <xdr:cNvSpPr txBox="1">
          <a:spLocks noChangeArrowheads="1"/>
        </xdr:cNvSpPr>
      </xdr:nvSpPr>
      <xdr:spPr bwMode="auto">
        <a:xfrm>
          <a:off x="4724401" y="1"/>
          <a:ext cx="1602444" cy="55245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B1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44/2025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18/06/2025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590549</xdr:colOff>
      <xdr:row>5</xdr:row>
      <xdr:rowOff>9525</xdr:rowOff>
    </xdr:from>
    <xdr:to>
      <xdr:col>3</xdr:col>
      <xdr:colOff>209549</xdr:colOff>
      <xdr:row>5</xdr:row>
      <xdr:rowOff>9525</xdr:rowOff>
    </xdr:to>
    <xdr:sp macro="" textlink="">
      <xdr:nvSpPr>
        <xdr:cNvPr id="4" name="Line 1">
          <a:extLst>
            <a:ext uri="{FF2B5EF4-FFF2-40B4-BE49-F238E27FC236}">
              <a16:creationId xmlns:a16="http://schemas.microsoft.com/office/drawing/2014/main" id="{0BCE457D-739F-4E0A-B7C2-7100BB8B4DF4}"/>
            </a:ext>
          </a:extLst>
        </xdr:cNvPr>
        <xdr:cNvSpPr>
          <a:spLocks noChangeShapeType="1"/>
        </xdr:cNvSpPr>
      </xdr:nvSpPr>
      <xdr:spPr bwMode="auto">
        <a:xfrm>
          <a:off x="590549" y="971550"/>
          <a:ext cx="1095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0</xdr:row>
      <xdr:rowOff>0</xdr:rowOff>
    </xdr:from>
    <xdr:to>
      <xdr:col>11</xdr:col>
      <xdr:colOff>0</xdr:colOff>
      <xdr:row>1</xdr:row>
      <xdr:rowOff>76200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3D728AB2-58AC-4F4D-928D-46C66D598313}"/>
            </a:ext>
          </a:extLst>
        </xdr:cNvPr>
        <xdr:cNvSpPr/>
      </xdr:nvSpPr>
      <xdr:spPr>
        <a:xfrm>
          <a:off x="6372225" y="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0</xdr:colOff>
      <xdr:row>0</xdr:row>
      <xdr:rowOff>9525</xdr:rowOff>
    </xdr:from>
    <xdr:to>
      <xdr:col>11</xdr:col>
      <xdr:colOff>0</xdr:colOff>
      <xdr:row>1</xdr:row>
      <xdr:rowOff>85725</xdr:rowOff>
    </xdr:to>
    <xdr:sp macro="" textlink="">
      <xdr:nvSpPr>
        <xdr:cNvPr id="30" name="Rectangle: Rounded Corners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FD69E08-8404-4612-B48E-46BFD5E05940}"/>
            </a:ext>
          </a:extLst>
        </xdr:cNvPr>
        <xdr:cNvSpPr/>
      </xdr:nvSpPr>
      <xdr:spPr>
        <a:xfrm>
          <a:off x="7791450" y="95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123825</xdr:colOff>
      <xdr:row>3</xdr:row>
      <xdr:rowOff>66675</xdr:rowOff>
    </xdr:from>
    <xdr:to>
      <xdr:col>13</xdr:col>
      <xdr:colOff>161925</xdr:colOff>
      <xdr:row>4</xdr:row>
      <xdr:rowOff>123825</xdr:rowOff>
    </xdr:to>
    <xdr:sp macro="" textlink="">
      <xdr:nvSpPr>
        <xdr:cNvPr id="45" name="Rectangle: Rounded Corners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B0631DC-03CE-417C-BA97-7EC19D80EFD4}"/>
            </a:ext>
          </a:extLst>
        </xdr:cNvPr>
        <xdr:cNvSpPr/>
      </xdr:nvSpPr>
      <xdr:spPr>
        <a:xfrm>
          <a:off x="9277350" y="609600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133350</xdr:colOff>
      <xdr:row>13</xdr:row>
      <xdr:rowOff>66675</xdr:rowOff>
    </xdr:from>
    <xdr:to>
      <xdr:col>13</xdr:col>
      <xdr:colOff>171450</xdr:colOff>
      <xdr:row>14</xdr:row>
      <xdr:rowOff>123825</xdr:rowOff>
    </xdr:to>
    <xdr:sp macro="" textlink="">
      <xdr:nvSpPr>
        <xdr:cNvPr id="46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56A3B68-11C1-4037-B99F-61511B91352D}"/>
            </a:ext>
          </a:extLst>
        </xdr:cNvPr>
        <xdr:cNvSpPr/>
      </xdr:nvSpPr>
      <xdr:spPr>
        <a:xfrm>
          <a:off x="9286875" y="270510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323850</xdr:colOff>
      <xdr:row>3</xdr:row>
      <xdr:rowOff>76200</xdr:rowOff>
    </xdr:from>
    <xdr:to>
      <xdr:col>15</xdr:col>
      <xdr:colOff>361950</xdr:colOff>
      <xdr:row>4</xdr:row>
      <xdr:rowOff>133350</xdr:rowOff>
    </xdr:to>
    <xdr:sp macro="" textlink="">
      <xdr:nvSpPr>
        <xdr:cNvPr id="47" name="Rectangle: Rounded Corners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7958695-6CBE-4933-9214-2EFFA1135FEF}"/>
            </a:ext>
          </a:extLst>
        </xdr:cNvPr>
        <xdr:cNvSpPr/>
      </xdr:nvSpPr>
      <xdr:spPr>
        <a:xfrm>
          <a:off x="10696575" y="6191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333375</xdr:colOff>
      <xdr:row>7</xdr:row>
      <xdr:rowOff>57150</xdr:rowOff>
    </xdr:from>
    <xdr:to>
      <xdr:col>15</xdr:col>
      <xdr:colOff>371475</xdr:colOff>
      <xdr:row>8</xdr:row>
      <xdr:rowOff>114300</xdr:rowOff>
    </xdr:to>
    <xdr:sp macro="" textlink="">
      <xdr:nvSpPr>
        <xdr:cNvPr id="48" name="Rectangle: Rounded Corners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C6DD318-DD48-452D-A5DA-199CFBD8A799}"/>
            </a:ext>
          </a:extLst>
        </xdr:cNvPr>
        <xdr:cNvSpPr/>
      </xdr:nvSpPr>
      <xdr:spPr>
        <a:xfrm>
          <a:off x="10706100" y="14382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342900</xdr:colOff>
      <xdr:row>15</xdr:row>
      <xdr:rowOff>76200</xdr:rowOff>
    </xdr:from>
    <xdr:to>
      <xdr:col>15</xdr:col>
      <xdr:colOff>381000</xdr:colOff>
      <xdr:row>16</xdr:row>
      <xdr:rowOff>133350</xdr:rowOff>
    </xdr:to>
    <xdr:sp macro="" textlink="">
      <xdr:nvSpPr>
        <xdr:cNvPr id="49" name="Rectangle: Rounded Corners 2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4479D45-B239-43C8-B3A9-09682830E5AA}"/>
            </a:ext>
          </a:extLst>
        </xdr:cNvPr>
        <xdr:cNvSpPr/>
      </xdr:nvSpPr>
      <xdr:spPr>
        <a:xfrm>
          <a:off x="10715625" y="31337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171450</xdr:colOff>
      <xdr:row>30</xdr:row>
      <xdr:rowOff>95250</xdr:rowOff>
    </xdr:from>
    <xdr:to>
      <xdr:col>9</xdr:col>
      <xdr:colOff>876300</xdr:colOff>
      <xdr:row>34</xdr:row>
      <xdr:rowOff>111814</xdr:rowOff>
    </xdr:to>
    <xdr:pic>
      <xdr:nvPicPr>
        <xdr:cNvPr id="13" name="Picture 12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7125" y="7905750"/>
          <a:ext cx="2133600" cy="9690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558057</xdr:colOff>
      <xdr:row>5</xdr:row>
      <xdr:rowOff>28575</xdr:rowOff>
    </xdr:from>
    <xdr:to>
      <xdr:col>9</xdr:col>
      <xdr:colOff>0</xdr:colOff>
      <xdr:row>5</xdr:row>
      <xdr:rowOff>38100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D6FC9145-730E-4F86-89E9-DC15FAC26ED4}"/>
            </a:ext>
          </a:extLst>
        </xdr:cNvPr>
        <xdr:cNvSpPr>
          <a:spLocks noChangeShapeType="1"/>
        </xdr:cNvSpPr>
      </xdr:nvSpPr>
      <xdr:spPr bwMode="auto">
        <a:xfrm flipV="1">
          <a:off x="3406032" y="990600"/>
          <a:ext cx="1518393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314326</xdr:colOff>
      <xdr:row>0</xdr:row>
      <xdr:rowOff>1</xdr:rowOff>
    </xdr:from>
    <xdr:to>
      <xdr:col>10</xdr:col>
      <xdr:colOff>145120</xdr:colOff>
      <xdr:row>3</xdr:row>
      <xdr:rowOff>28576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8C593432-B0BC-4515-8512-6A5693F555E9}"/>
            </a:ext>
          </a:extLst>
        </xdr:cNvPr>
        <xdr:cNvSpPr txBox="1">
          <a:spLocks noChangeArrowheads="1"/>
        </xdr:cNvSpPr>
      </xdr:nvSpPr>
      <xdr:spPr bwMode="auto">
        <a:xfrm>
          <a:off x="4724401" y="1"/>
          <a:ext cx="1602444" cy="55245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B1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44/2025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18/06/2025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590550</xdr:colOff>
      <xdr:row>5</xdr:row>
      <xdr:rowOff>9525</xdr:rowOff>
    </xdr:from>
    <xdr:to>
      <xdr:col>3</xdr:col>
      <xdr:colOff>180975</xdr:colOff>
      <xdr:row>5</xdr:row>
      <xdr:rowOff>9525</xdr:rowOff>
    </xdr:to>
    <xdr:sp macro="" textlink="">
      <xdr:nvSpPr>
        <xdr:cNvPr id="4" name="Line 1">
          <a:extLst>
            <a:ext uri="{FF2B5EF4-FFF2-40B4-BE49-F238E27FC236}">
              <a16:creationId xmlns:a16="http://schemas.microsoft.com/office/drawing/2014/main" id="{0BCE457D-739F-4E0A-B7C2-7100BB8B4DF4}"/>
            </a:ext>
          </a:extLst>
        </xdr:cNvPr>
        <xdr:cNvSpPr>
          <a:spLocks noChangeShapeType="1"/>
        </xdr:cNvSpPr>
      </xdr:nvSpPr>
      <xdr:spPr bwMode="auto">
        <a:xfrm>
          <a:off x="590550" y="971550"/>
          <a:ext cx="1066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0</xdr:row>
      <xdr:rowOff>0</xdr:rowOff>
    </xdr:from>
    <xdr:to>
      <xdr:col>11</xdr:col>
      <xdr:colOff>0</xdr:colOff>
      <xdr:row>1</xdr:row>
      <xdr:rowOff>76200</xdr:rowOff>
    </xdr:to>
    <xdr:sp macro="" textlink="">
      <xdr:nvSpPr>
        <xdr:cNvPr id="5" name="Rectangle: Rounded Corners 21">
          <a:extLst>
            <a:ext uri="{FF2B5EF4-FFF2-40B4-BE49-F238E27FC236}">
              <a16:creationId xmlns:a16="http://schemas.microsoft.com/office/drawing/2014/main" id="{3D728AB2-58AC-4F4D-928D-46C66D598313}"/>
            </a:ext>
          </a:extLst>
        </xdr:cNvPr>
        <xdr:cNvSpPr/>
      </xdr:nvSpPr>
      <xdr:spPr>
        <a:xfrm>
          <a:off x="6372225" y="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0</xdr:colOff>
      <xdr:row>0</xdr:row>
      <xdr:rowOff>9525</xdr:rowOff>
    </xdr:from>
    <xdr:to>
      <xdr:col>11</xdr:col>
      <xdr:colOff>0</xdr:colOff>
      <xdr:row>1</xdr:row>
      <xdr:rowOff>85725</xdr:rowOff>
    </xdr:to>
    <xdr:sp macro="" textlink="">
      <xdr:nvSpPr>
        <xdr:cNvPr id="13" name="Rectangle: Rounded Corners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D69E08-8404-4612-B48E-46BFD5E05940}"/>
            </a:ext>
          </a:extLst>
        </xdr:cNvPr>
        <xdr:cNvSpPr/>
      </xdr:nvSpPr>
      <xdr:spPr>
        <a:xfrm>
          <a:off x="7791450" y="95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123825</xdr:colOff>
      <xdr:row>3</xdr:row>
      <xdr:rowOff>66675</xdr:rowOff>
    </xdr:from>
    <xdr:to>
      <xdr:col>13</xdr:col>
      <xdr:colOff>161925</xdr:colOff>
      <xdr:row>4</xdr:row>
      <xdr:rowOff>123825</xdr:rowOff>
    </xdr:to>
    <xdr:sp macro="" textlink="">
      <xdr:nvSpPr>
        <xdr:cNvPr id="2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B0631DC-03CE-417C-BA97-7EC19D80EFD4}"/>
            </a:ext>
          </a:extLst>
        </xdr:cNvPr>
        <xdr:cNvSpPr/>
      </xdr:nvSpPr>
      <xdr:spPr>
        <a:xfrm>
          <a:off x="6496050" y="685800"/>
          <a:ext cx="1257300" cy="2762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133350</xdr:colOff>
      <xdr:row>13</xdr:row>
      <xdr:rowOff>66675</xdr:rowOff>
    </xdr:from>
    <xdr:to>
      <xdr:col>13</xdr:col>
      <xdr:colOff>171450</xdr:colOff>
      <xdr:row>14</xdr:row>
      <xdr:rowOff>123825</xdr:rowOff>
    </xdr:to>
    <xdr:sp macro="" textlink="">
      <xdr:nvSpPr>
        <xdr:cNvPr id="24" name="Rectangle: Rounded Corner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6A3B68-11C1-4037-B99F-61511B91352D}"/>
            </a:ext>
          </a:extLst>
        </xdr:cNvPr>
        <xdr:cNvSpPr/>
      </xdr:nvSpPr>
      <xdr:spPr>
        <a:xfrm>
          <a:off x="6505575" y="3076575"/>
          <a:ext cx="1257300" cy="52387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323850</xdr:colOff>
      <xdr:row>3</xdr:row>
      <xdr:rowOff>76200</xdr:rowOff>
    </xdr:from>
    <xdr:to>
      <xdr:col>15</xdr:col>
      <xdr:colOff>361950</xdr:colOff>
      <xdr:row>4</xdr:row>
      <xdr:rowOff>133350</xdr:rowOff>
    </xdr:to>
    <xdr:sp macro="" textlink="">
      <xdr:nvSpPr>
        <xdr:cNvPr id="25" name="Rectangle: Rounded Corners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958695-6CBE-4933-9214-2EFFA1135FEF}"/>
            </a:ext>
          </a:extLst>
        </xdr:cNvPr>
        <xdr:cNvSpPr/>
      </xdr:nvSpPr>
      <xdr:spPr>
        <a:xfrm>
          <a:off x="7915275" y="695325"/>
          <a:ext cx="1257300" cy="276225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333375</xdr:colOff>
      <xdr:row>7</xdr:row>
      <xdr:rowOff>57150</xdr:rowOff>
    </xdr:from>
    <xdr:to>
      <xdr:col>15</xdr:col>
      <xdr:colOff>371475</xdr:colOff>
      <xdr:row>8</xdr:row>
      <xdr:rowOff>114300</xdr:rowOff>
    </xdr:to>
    <xdr:sp macro="" textlink="">
      <xdr:nvSpPr>
        <xdr:cNvPr id="26" name="Rectangle: Rounded Corners 2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C6DD318-DD48-452D-A5DA-199CFBD8A799}"/>
            </a:ext>
          </a:extLst>
        </xdr:cNvPr>
        <xdr:cNvSpPr/>
      </xdr:nvSpPr>
      <xdr:spPr>
        <a:xfrm>
          <a:off x="7924800" y="1590675"/>
          <a:ext cx="1257300" cy="295275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342900</xdr:colOff>
      <xdr:row>15</xdr:row>
      <xdr:rowOff>76200</xdr:rowOff>
    </xdr:from>
    <xdr:to>
      <xdr:col>15</xdr:col>
      <xdr:colOff>381000</xdr:colOff>
      <xdr:row>16</xdr:row>
      <xdr:rowOff>133350</xdr:rowOff>
    </xdr:to>
    <xdr:sp macro="" textlink="">
      <xdr:nvSpPr>
        <xdr:cNvPr id="27" name="Rectangle: Rounded Corners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4479D45-B239-43C8-B3A9-09682830E5AA}"/>
            </a:ext>
          </a:extLst>
        </xdr:cNvPr>
        <xdr:cNvSpPr/>
      </xdr:nvSpPr>
      <xdr:spPr>
        <a:xfrm>
          <a:off x="7934325" y="3790950"/>
          <a:ext cx="1257300" cy="5524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123825</xdr:colOff>
      <xdr:row>30</xdr:row>
      <xdr:rowOff>114300</xdr:rowOff>
    </xdr:from>
    <xdr:to>
      <xdr:col>9</xdr:col>
      <xdr:colOff>771235</xdr:colOff>
      <xdr:row>34</xdr:row>
      <xdr:rowOff>104775</xdr:rowOff>
    </xdr:to>
    <xdr:pic>
      <xdr:nvPicPr>
        <xdr:cNvPr id="14" name="Picture 13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0" y="7924800"/>
          <a:ext cx="2076160" cy="94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558057</xdr:colOff>
      <xdr:row>5</xdr:row>
      <xdr:rowOff>28575</xdr:rowOff>
    </xdr:from>
    <xdr:to>
      <xdr:col>9</xdr:col>
      <xdr:colOff>0</xdr:colOff>
      <xdr:row>5</xdr:row>
      <xdr:rowOff>38100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D6FC9145-730E-4F86-89E9-DC15FAC26ED4}"/>
            </a:ext>
          </a:extLst>
        </xdr:cNvPr>
        <xdr:cNvSpPr>
          <a:spLocks noChangeShapeType="1"/>
        </xdr:cNvSpPr>
      </xdr:nvSpPr>
      <xdr:spPr bwMode="auto">
        <a:xfrm flipV="1">
          <a:off x="3406032" y="990600"/>
          <a:ext cx="1518393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314326</xdr:colOff>
      <xdr:row>0</xdr:row>
      <xdr:rowOff>1</xdr:rowOff>
    </xdr:from>
    <xdr:to>
      <xdr:col>10</xdr:col>
      <xdr:colOff>145120</xdr:colOff>
      <xdr:row>3</xdr:row>
      <xdr:rowOff>28576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8C593432-B0BC-4515-8512-6A5693F555E9}"/>
            </a:ext>
          </a:extLst>
        </xdr:cNvPr>
        <xdr:cNvSpPr txBox="1">
          <a:spLocks noChangeArrowheads="1"/>
        </xdr:cNvSpPr>
      </xdr:nvSpPr>
      <xdr:spPr bwMode="auto">
        <a:xfrm>
          <a:off x="4724401" y="1"/>
          <a:ext cx="1602444" cy="55245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B1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44/2025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18/06/2025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600075</xdr:colOff>
      <xdr:row>5</xdr:row>
      <xdr:rowOff>9525</xdr:rowOff>
    </xdr:from>
    <xdr:to>
      <xdr:col>3</xdr:col>
      <xdr:colOff>200025</xdr:colOff>
      <xdr:row>5</xdr:row>
      <xdr:rowOff>9525</xdr:rowOff>
    </xdr:to>
    <xdr:sp macro="" textlink="">
      <xdr:nvSpPr>
        <xdr:cNvPr id="4" name="Line 1">
          <a:extLst>
            <a:ext uri="{FF2B5EF4-FFF2-40B4-BE49-F238E27FC236}">
              <a16:creationId xmlns:a16="http://schemas.microsoft.com/office/drawing/2014/main" id="{0BCE457D-739F-4E0A-B7C2-7100BB8B4DF4}"/>
            </a:ext>
          </a:extLst>
        </xdr:cNvPr>
        <xdr:cNvSpPr>
          <a:spLocks noChangeShapeType="1"/>
        </xdr:cNvSpPr>
      </xdr:nvSpPr>
      <xdr:spPr bwMode="auto">
        <a:xfrm>
          <a:off x="600075" y="97155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0</xdr:row>
      <xdr:rowOff>0</xdr:rowOff>
    </xdr:from>
    <xdr:to>
      <xdr:col>11</xdr:col>
      <xdr:colOff>0</xdr:colOff>
      <xdr:row>1</xdr:row>
      <xdr:rowOff>76200</xdr:rowOff>
    </xdr:to>
    <xdr:sp macro="" textlink="">
      <xdr:nvSpPr>
        <xdr:cNvPr id="5" name="Rectangle: Rounded Corners 21">
          <a:extLst>
            <a:ext uri="{FF2B5EF4-FFF2-40B4-BE49-F238E27FC236}">
              <a16:creationId xmlns:a16="http://schemas.microsoft.com/office/drawing/2014/main" id="{3D728AB2-58AC-4F4D-928D-46C66D598313}"/>
            </a:ext>
          </a:extLst>
        </xdr:cNvPr>
        <xdr:cNvSpPr/>
      </xdr:nvSpPr>
      <xdr:spPr>
        <a:xfrm>
          <a:off x="6372225" y="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0</xdr:colOff>
      <xdr:row>0</xdr:row>
      <xdr:rowOff>9525</xdr:rowOff>
    </xdr:from>
    <xdr:to>
      <xdr:col>11</xdr:col>
      <xdr:colOff>0</xdr:colOff>
      <xdr:row>1</xdr:row>
      <xdr:rowOff>85725</xdr:rowOff>
    </xdr:to>
    <xdr:sp macro="" textlink="">
      <xdr:nvSpPr>
        <xdr:cNvPr id="13" name="Rectangle: Rounded Corners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D69E08-8404-4612-B48E-46BFD5E05940}"/>
            </a:ext>
          </a:extLst>
        </xdr:cNvPr>
        <xdr:cNvSpPr/>
      </xdr:nvSpPr>
      <xdr:spPr>
        <a:xfrm>
          <a:off x="7791450" y="95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123825</xdr:colOff>
      <xdr:row>3</xdr:row>
      <xdr:rowOff>66675</xdr:rowOff>
    </xdr:from>
    <xdr:to>
      <xdr:col>13</xdr:col>
      <xdr:colOff>161925</xdr:colOff>
      <xdr:row>4</xdr:row>
      <xdr:rowOff>123825</xdr:rowOff>
    </xdr:to>
    <xdr:sp macro="" textlink="">
      <xdr:nvSpPr>
        <xdr:cNvPr id="2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B0631DC-03CE-417C-BA97-7EC19D80EFD4}"/>
            </a:ext>
          </a:extLst>
        </xdr:cNvPr>
        <xdr:cNvSpPr/>
      </xdr:nvSpPr>
      <xdr:spPr>
        <a:xfrm>
          <a:off x="6496050" y="685800"/>
          <a:ext cx="1257300" cy="2762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133350</xdr:colOff>
      <xdr:row>13</xdr:row>
      <xdr:rowOff>66675</xdr:rowOff>
    </xdr:from>
    <xdr:to>
      <xdr:col>13</xdr:col>
      <xdr:colOff>171450</xdr:colOff>
      <xdr:row>14</xdr:row>
      <xdr:rowOff>123825</xdr:rowOff>
    </xdr:to>
    <xdr:sp macro="" textlink="">
      <xdr:nvSpPr>
        <xdr:cNvPr id="24" name="Rectangle: Rounded Corner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6A3B68-11C1-4037-B99F-61511B91352D}"/>
            </a:ext>
          </a:extLst>
        </xdr:cNvPr>
        <xdr:cNvSpPr/>
      </xdr:nvSpPr>
      <xdr:spPr>
        <a:xfrm>
          <a:off x="6505575" y="3076575"/>
          <a:ext cx="1257300" cy="52387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323850</xdr:colOff>
      <xdr:row>3</xdr:row>
      <xdr:rowOff>76200</xdr:rowOff>
    </xdr:from>
    <xdr:to>
      <xdr:col>15</xdr:col>
      <xdr:colOff>361950</xdr:colOff>
      <xdr:row>4</xdr:row>
      <xdr:rowOff>133350</xdr:rowOff>
    </xdr:to>
    <xdr:sp macro="" textlink="">
      <xdr:nvSpPr>
        <xdr:cNvPr id="25" name="Rectangle: Rounded Corners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958695-6CBE-4933-9214-2EFFA1135FEF}"/>
            </a:ext>
          </a:extLst>
        </xdr:cNvPr>
        <xdr:cNvSpPr/>
      </xdr:nvSpPr>
      <xdr:spPr>
        <a:xfrm>
          <a:off x="7915275" y="695325"/>
          <a:ext cx="1257300" cy="276225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333375</xdr:colOff>
      <xdr:row>7</xdr:row>
      <xdr:rowOff>57150</xdr:rowOff>
    </xdr:from>
    <xdr:to>
      <xdr:col>15</xdr:col>
      <xdr:colOff>371475</xdr:colOff>
      <xdr:row>8</xdr:row>
      <xdr:rowOff>114300</xdr:rowOff>
    </xdr:to>
    <xdr:sp macro="" textlink="">
      <xdr:nvSpPr>
        <xdr:cNvPr id="26" name="Rectangle: Rounded Corners 2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C6DD318-DD48-452D-A5DA-199CFBD8A799}"/>
            </a:ext>
          </a:extLst>
        </xdr:cNvPr>
        <xdr:cNvSpPr/>
      </xdr:nvSpPr>
      <xdr:spPr>
        <a:xfrm>
          <a:off x="7924800" y="1590675"/>
          <a:ext cx="1257300" cy="295275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342900</xdr:colOff>
      <xdr:row>15</xdr:row>
      <xdr:rowOff>76200</xdr:rowOff>
    </xdr:from>
    <xdr:to>
      <xdr:col>15</xdr:col>
      <xdr:colOff>381000</xdr:colOff>
      <xdr:row>16</xdr:row>
      <xdr:rowOff>133350</xdr:rowOff>
    </xdr:to>
    <xdr:sp macro="" textlink="">
      <xdr:nvSpPr>
        <xdr:cNvPr id="27" name="Rectangle: Rounded Corners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4479D45-B239-43C8-B3A9-09682830E5AA}"/>
            </a:ext>
          </a:extLst>
        </xdr:cNvPr>
        <xdr:cNvSpPr/>
      </xdr:nvSpPr>
      <xdr:spPr>
        <a:xfrm>
          <a:off x="7934325" y="3790950"/>
          <a:ext cx="1257300" cy="5524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95250</xdr:colOff>
      <xdr:row>30</xdr:row>
      <xdr:rowOff>190500</xdr:rowOff>
    </xdr:from>
    <xdr:to>
      <xdr:col>9</xdr:col>
      <xdr:colOff>742660</xdr:colOff>
      <xdr:row>34</xdr:row>
      <xdr:rowOff>180975</xdr:rowOff>
    </xdr:to>
    <xdr:pic>
      <xdr:nvPicPr>
        <xdr:cNvPr id="14" name="Picture 13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90925" y="8001000"/>
          <a:ext cx="2076160" cy="94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581025</xdr:colOff>
      <xdr:row>70</xdr:row>
      <xdr:rowOff>219075</xdr:rowOff>
    </xdr:from>
    <xdr:to>
      <xdr:col>10</xdr:col>
      <xdr:colOff>178917</xdr:colOff>
      <xdr:row>76</xdr:row>
      <xdr:rowOff>142470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artisticPhotocopy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17745075"/>
          <a:ext cx="2931642" cy="1352145"/>
        </a:xfrm>
        <a:prstGeom prst="rect">
          <a:avLst/>
        </a:prstGeom>
        <a:ln>
          <a:noFill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561976</xdr:colOff>
      <xdr:row>73</xdr:row>
      <xdr:rowOff>66675</xdr:rowOff>
    </xdr:from>
    <xdr:to>
      <xdr:col>10</xdr:col>
      <xdr:colOff>159868</xdr:colOff>
      <xdr:row>78</xdr:row>
      <xdr:rowOff>228195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Photocopy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9951" y="17830800"/>
          <a:ext cx="2931642" cy="1352145"/>
        </a:xfrm>
        <a:prstGeom prst="rect">
          <a:avLst/>
        </a:prstGeom>
        <a:ln>
          <a:noFill/>
        </a:ln>
        <a:effectLst/>
      </xdr:spPr>
    </xdr:pic>
    <xdr:clientData/>
  </xdr:twoCellAnchor>
  <xdr:twoCellAnchor>
    <xdr:from>
      <xdr:col>5</xdr:col>
      <xdr:colOff>558057</xdr:colOff>
      <xdr:row>5</xdr:row>
      <xdr:rowOff>28575</xdr:rowOff>
    </xdr:from>
    <xdr:to>
      <xdr:col>9</xdr:col>
      <xdr:colOff>0</xdr:colOff>
      <xdr:row>5</xdr:row>
      <xdr:rowOff>38100</xdr:rowOff>
    </xdr:to>
    <xdr:sp macro="" textlink="">
      <xdr:nvSpPr>
        <xdr:cNvPr id="3" name="Line 1">
          <a:extLst>
            <a:ext uri="{FF2B5EF4-FFF2-40B4-BE49-F238E27FC236}">
              <a16:creationId xmlns:a16="http://schemas.microsoft.com/office/drawing/2014/main" id="{D6FC9145-730E-4F86-89E9-DC15FAC26ED4}"/>
            </a:ext>
          </a:extLst>
        </xdr:cNvPr>
        <xdr:cNvSpPr>
          <a:spLocks noChangeShapeType="1"/>
        </xdr:cNvSpPr>
      </xdr:nvSpPr>
      <xdr:spPr bwMode="auto">
        <a:xfrm flipV="1">
          <a:off x="3406032" y="1085850"/>
          <a:ext cx="1518393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314326</xdr:colOff>
      <xdr:row>0</xdr:row>
      <xdr:rowOff>1</xdr:rowOff>
    </xdr:from>
    <xdr:to>
      <xdr:col>10</xdr:col>
      <xdr:colOff>145120</xdr:colOff>
      <xdr:row>3</xdr:row>
      <xdr:rowOff>28576</xdr:rowOff>
    </xdr:to>
    <xdr:sp macro="" textlink="">
      <xdr:nvSpPr>
        <xdr:cNvPr id="4" name="Text Box 1">
          <a:extLst>
            <a:ext uri="{FF2B5EF4-FFF2-40B4-BE49-F238E27FC236}">
              <a16:creationId xmlns:a16="http://schemas.microsoft.com/office/drawing/2014/main" id="{8C593432-B0BC-4515-8512-6A5693F555E9}"/>
            </a:ext>
          </a:extLst>
        </xdr:cNvPr>
        <xdr:cNvSpPr txBox="1">
          <a:spLocks noChangeArrowheads="1"/>
        </xdr:cNvSpPr>
      </xdr:nvSpPr>
      <xdr:spPr bwMode="auto">
        <a:xfrm>
          <a:off x="4724401" y="1"/>
          <a:ext cx="1602444" cy="6477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B1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44/2025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18/06/2025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590549</xdr:colOff>
      <xdr:row>5</xdr:row>
      <xdr:rowOff>9525</xdr:rowOff>
    </xdr:from>
    <xdr:to>
      <xdr:col>3</xdr:col>
      <xdr:colOff>209549</xdr:colOff>
      <xdr:row>5</xdr:row>
      <xdr:rowOff>9525</xdr:rowOff>
    </xdr:to>
    <xdr:sp macro="" textlink="">
      <xdr:nvSpPr>
        <xdr:cNvPr id="5" name="Line 1">
          <a:extLst>
            <a:ext uri="{FF2B5EF4-FFF2-40B4-BE49-F238E27FC236}">
              <a16:creationId xmlns:a16="http://schemas.microsoft.com/office/drawing/2014/main" id="{0BCE457D-739F-4E0A-B7C2-7100BB8B4DF4}"/>
            </a:ext>
          </a:extLst>
        </xdr:cNvPr>
        <xdr:cNvSpPr>
          <a:spLocks noChangeShapeType="1"/>
        </xdr:cNvSpPr>
      </xdr:nvSpPr>
      <xdr:spPr bwMode="auto">
        <a:xfrm>
          <a:off x="590549" y="1066800"/>
          <a:ext cx="1095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0</xdr:row>
      <xdr:rowOff>0</xdr:rowOff>
    </xdr:from>
    <xdr:to>
      <xdr:col>11</xdr:col>
      <xdr:colOff>0</xdr:colOff>
      <xdr:row>1</xdr:row>
      <xdr:rowOff>76200</xdr:rowOff>
    </xdr:to>
    <xdr:sp macro="" textlink="">
      <xdr:nvSpPr>
        <xdr:cNvPr id="6" name="Rectangle: Rounded Corners 21">
          <a:extLst>
            <a:ext uri="{FF2B5EF4-FFF2-40B4-BE49-F238E27FC236}">
              <a16:creationId xmlns:a16="http://schemas.microsoft.com/office/drawing/2014/main" id="{3D728AB2-58AC-4F4D-928D-46C66D598313}"/>
            </a:ext>
          </a:extLst>
        </xdr:cNvPr>
        <xdr:cNvSpPr/>
      </xdr:nvSpPr>
      <xdr:spPr>
        <a:xfrm>
          <a:off x="6372225" y="0"/>
          <a:ext cx="0" cy="314325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0</xdr:colOff>
      <xdr:row>0</xdr:row>
      <xdr:rowOff>9525</xdr:rowOff>
    </xdr:from>
    <xdr:to>
      <xdr:col>11</xdr:col>
      <xdr:colOff>0</xdr:colOff>
      <xdr:row>1</xdr:row>
      <xdr:rowOff>85725</xdr:rowOff>
    </xdr:to>
    <xdr:sp macro="" textlink="">
      <xdr:nvSpPr>
        <xdr:cNvPr id="7" name="Rectangle: Rounded Corners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FD69E08-8404-4612-B48E-46BFD5E05940}"/>
            </a:ext>
          </a:extLst>
        </xdr:cNvPr>
        <xdr:cNvSpPr/>
      </xdr:nvSpPr>
      <xdr:spPr>
        <a:xfrm>
          <a:off x="6372225" y="9525"/>
          <a:ext cx="0" cy="314325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123825</xdr:colOff>
      <xdr:row>3</xdr:row>
      <xdr:rowOff>66675</xdr:rowOff>
    </xdr:from>
    <xdr:to>
      <xdr:col>13</xdr:col>
      <xdr:colOff>161925</xdr:colOff>
      <xdr:row>4</xdr:row>
      <xdr:rowOff>123825</xdr:rowOff>
    </xdr:to>
    <xdr:sp macro="" textlink="">
      <xdr:nvSpPr>
        <xdr:cNvPr id="8" name="Rectangle: Rounded Corners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B0631DC-03CE-417C-BA97-7EC19D80EFD4}"/>
            </a:ext>
          </a:extLst>
        </xdr:cNvPr>
        <xdr:cNvSpPr/>
      </xdr:nvSpPr>
      <xdr:spPr>
        <a:xfrm>
          <a:off x="6496050" y="685800"/>
          <a:ext cx="1257300" cy="2762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133350</xdr:colOff>
      <xdr:row>13</xdr:row>
      <xdr:rowOff>66675</xdr:rowOff>
    </xdr:from>
    <xdr:to>
      <xdr:col>13</xdr:col>
      <xdr:colOff>171450</xdr:colOff>
      <xdr:row>14</xdr:row>
      <xdr:rowOff>123825</xdr:rowOff>
    </xdr:to>
    <xdr:sp macro="" textlink="">
      <xdr:nvSpPr>
        <xdr:cNvPr id="9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56A3B68-11C1-4037-B99F-61511B91352D}"/>
            </a:ext>
          </a:extLst>
        </xdr:cNvPr>
        <xdr:cNvSpPr/>
      </xdr:nvSpPr>
      <xdr:spPr>
        <a:xfrm>
          <a:off x="6505575" y="3076575"/>
          <a:ext cx="1257300" cy="52387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323850</xdr:colOff>
      <xdr:row>3</xdr:row>
      <xdr:rowOff>76200</xdr:rowOff>
    </xdr:from>
    <xdr:to>
      <xdr:col>15</xdr:col>
      <xdr:colOff>361950</xdr:colOff>
      <xdr:row>4</xdr:row>
      <xdr:rowOff>133350</xdr:rowOff>
    </xdr:to>
    <xdr:sp macro="" textlink="">
      <xdr:nvSpPr>
        <xdr:cNvPr id="10" name="Rectangle: Rounded Corners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7958695-6CBE-4933-9214-2EFFA1135FEF}"/>
            </a:ext>
          </a:extLst>
        </xdr:cNvPr>
        <xdr:cNvSpPr/>
      </xdr:nvSpPr>
      <xdr:spPr>
        <a:xfrm>
          <a:off x="7915275" y="695325"/>
          <a:ext cx="1257300" cy="276225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333375</xdr:colOff>
      <xdr:row>7</xdr:row>
      <xdr:rowOff>57150</xdr:rowOff>
    </xdr:from>
    <xdr:to>
      <xdr:col>15</xdr:col>
      <xdr:colOff>371475</xdr:colOff>
      <xdr:row>8</xdr:row>
      <xdr:rowOff>114300</xdr:rowOff>
    </xdr:to>
    <xdr:sp macro="" textlink="">
      <xdr:nvSpPr>
        <xdr:cNvPr id="11" name="Rectangle: Rounded Corners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C6DD318-DD48-452D-A5DA-199CFBD8A799}"/>
            </a:ext>
          </a:extLst>
        </xdr:cNvPr>
        <xdr:cNvSpPr/>
      </xdr:nvSpPr>
      <xdr:spPr>
        <a:xfrm>
          <a:off x="7924800" y="1590675"/>
          <a:ext cx="1257300" cy="295275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342900</xdr:colOff>
      <xdr:row>15</xdr:row>
      <xdr:rowOff>76200</xdr:rowOff>
    </xdr:from>
    <xdr:to>
      <xdr:col>15</xdr:col>
      <xdr:colOff>381000</xdr:colOff>
      <xdr:row>16</xdr:row>
      <xdr:rowOff>133350</xdr:rowOff>
    </xdr:to>
    <xdr:sp macro="" textlink="">
      <xdr:nvSpPr>
        <xdr:cNvPr id="12" name="Rectangle: Rounded Corners 2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4479D45-B239-43C8-B3A9-09682830E5AA}"/>
            </a:ext>
          </a:extLst>
        </xdr:cNvPr>
        <xdr:cNvSpPr/>
      </xdr:nvSpPr>
      <xdr:spPr>
        <a:xfrm>
          <a:off x="7934325" y="3790950"/>
          <a:ext cx="1257300" cy="5524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171450</xdr:colOff>
      <xdr:row>30</xdr:row>
      <xdr:rowOff>95250</xdr:rowOff>
    </xdr:from>
    <xdr:to>
      <xdr:col>9</xdr:col>
      <xdr:colOff>876300</xdr:colOff>
      <xdr:row>34</xdr:row>
      <xdr:rowOff>111814</xdr:rowOff>
    </xdr:to>
    <xdr:pic>
      <xdr:nvPicPr>
        <xdr:cNvPr id="13" name="Picture 12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7125" y="7905750"/>
          <a:ext cx="2133600" cy="9690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14</xdr:col>
      <xdr:colOff>38100</xdr:colOff>
      <xdr:row>2</xdr:row>
      <xdr:rowOff>28575</xdr:rowOff>
    </xdr:to>
    <xdr:sp macro="" textlink="">
      <xdr:nvSpPr>
        <xdr:cNvPr id="2" name="Rectangle: Rounded Corners 19">
          <a:extLst>
            <a:ext uri="{FF2B5EF4-FFF2-40B4-BE49-F238E27FC236}">
              <a16:creationId xmlns:a16="http://schemas.microsoft.com/office/drawing/2014/main" id="{83D8F65B-F328-45BD-84B6-84A2B08D239C}"/>
            </a:ext>
          </a:extLst>
        </xdr:cNvPr>
        <xdr:cNvSpPr/>
      </xdr:nvSpPr>
      <xdr:spPr>
        <a:xfrm>
          <a:off x="7439025" y="2381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9525</xdr:colOff>
      <xdr:row>3</xdr:row>
      <xdr:rowOff>38100</xdr:rowOff>
    </xdr:from>
    <xdr:to>
      <xdr:col>14</xdr:col>
      <xdr:colOff>47625</xdr:colOff>
      <xdr:row>4</xdr:row>
      <xdr:rowOff>66675</xdr:rowOff>
    </xdr:to>
    <xdr:sp macro="" textlink="">
      <xdr:nvSpPr>
        <xdr:cNvPr id="3" name="Rectangle: Rounded Corners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9891AC-A865-42E1-8458-964C92A19F9D}"/>
            </a:ext>
          </a:extLst>
        </xdr:cNvPr>
        <xdr:cNvSpPr/>
      </xdr:nvSpPr>
      <xdr:spPr>
        <a:xfrm>
          <a:off x="7448550" y="704850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4</xdr:row>
      <xdr:rowOff>200025</xdr:rowOff>
    </xdr:from>
    <xdr:to>
      <xdr:col>14</xdr:col>
      <xdr:colOff>57150</xdr:colOff>
      <xdr:row>5</xdr:row>
      <xdr:rowOff>228600</xdr:rowOff>
    </xdr:to>
    <xdr:sp macro="" textlink="">
      <xdr:nvSpPr>
        <xdr:cNvPr id="4" name="Rectangle: Rounded Corners 2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2EFEFAC-2EBA-4056-B6C2-C300ECB7D993}"/>
            </a:ext>
          </a:extLst>
        </xdr:cNvPr>
        <xdr:cNvSpPr/>
      </xdr:nvSpPr>
      <xdr:spPr>
        <a:xfrm>
          <a:off x="7458075" y="110490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6</xdr:row>
      <xdr:rowOff>142875</xdr:rowOff>
    </xdr:from>
    <xdr:to>
      <xdr:col>14</xdr:col>
      <xdr:colOff>57150</xdr:colOff>
      <xdr:row>7</xdr:row>
      <xdr:rowOff>171450</xdr:rowOff>
    </xdr:to>
    <xdr:sp macro="" textlink="">
      <xdr:nvSpPr>
        <xdr:cNvPr id="5" name="Rectangle: Rounded Corners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834741A-DCAE-4D61-8C63-D3AB5BE98E56}"/>
            </a:ext>
          </a:extLst>
        </xdr:cNvPr>
        <xdr:cNvSpPr/>
      </xdr:nvSpPr>
      <xdr:spPr>
        <a:xfrm>
          <a:off x="7458075" y="152400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7</xdr:row>
      <xdr:rowOff>342900</xdr:rowOff>
    </xdr:from>
    <xdr:to>
      <xdr:col>14</xdr:col>
      <xdr:colOff>57150</xdr:colOff>
      <xdr:row>8</xdr:row>
      <xdr:rowOff>142875</xdr:rowOff>
    </xdr:to>
    <xdr:sp macro="" textlink="">
      <xdr:nvSpPr>
        <xdr:cNvPr id="6" name="Rectangle: Rounded Corners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8EBB426-87F2-4CD5-B0ED-D5078BDA43A8}"/>
            </a:ext>
          </a:extLst>
        </xdr:cNvPr>
        <xdr:cNvSpPr/>
      </xdr:nvSpPr>
      <xdr:spPr>
        <a:xfrm>
          <a:off x="7458075" y="196215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9</xdr:row>
      <xdr:rowOff>57150</xdr:rowOff>
    </xdr:from>
    <xdr:to>
      <xdr:col>14</xdr:col>
      <xdr:colOff>57150</xdr:colOff>
      <xdr:row>10</xdr:row>
      <xdr:rowOff>85725</xdr:rowOff>
    </xdr:to>
    <xdr:sp macro="" textlink="">
      <xdr:nvSpPr>
        <xdr:cNvPr id="7" name="Rectangle: Rounded Corners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B3BC4DA-317C-43B8-B6FF-1DE9413F9FD7}"/>
            </a:ext>
          </a:extLst>
        </xdr:cNvPr>
        <xdr:cNvSpPr/>
      </xdr:nvSpPr>
      <xdr:spPr>
        <a:xfrm>
          <a:off x="7458075" y="23812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11</xdr:row>
      <xdr:rowOff>0</xdr:rowOff>
    </xdr:from>
    <xdr:to>
      <xdr:col>14</xdr:col>
      <xdr:colOff>57150</xdr:colOff>
      <xdr:row>12</xdr:row>
      <xdr:rowOff>28575</xdr:rowOff>
    </xdr:to>
    <xdr:sp macro="" textlink="">
      <xdr:nvSpPr>
        <xdr:cNvPr id="8" name="Rectangle: Rounded Corners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84A904F-8A3E-4C08-A3B4-22ED5805868D}"/>
            </a:ext>
          </a:extLst>
        </xdr:cNvPr>
        <xdr:cNvSpPr/>
      </xdr:nvSpPr>
      <xdr:spPr>
        <a:xfrm>
          <a:off x="7458075" y="28003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28575</xdr:colOff>
      <xdr:row>12</xdr:row>
      <xdr:rowOff>180975</xdr:rowOff>
    </xdr:from>
    <xdr:to>
      <xdr:col>14</xdr:col>
      <xdr:colOff>66675</xdr:colOff>
      <xdr:row>13</xdr:row>
      <xdr:rowOff>209550</xdr:rowOff>
    </xdr:to>
    <xdr:sp macro="" textlink="">
      <xdr:nvSpPr>
        <xdr:cNvPr id="9" name="Rectangle: Rounded Corners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3A0B79-69A5-494C-92BC-17BB17C6EB3A}"/>
            </a:ext>
          </a:extLst>
        </xdr:cNvPr>
        <xdr:cNvSpPr/>
      </xdr:nvSpPr>
      <xdr:spPr>
        <a:xfrm>
          <a:off x="7467600" y="3219450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200025</xdr:colOff>
      <xdr:row>1</xdr:row>
      <xdr:rowOff>9525</xdr:rowOff>
    </xdr:from>
    <xdr:to>
      <xdr:col>16</xdr:col>
      <xdr:colOff>238125</xdr:colOff>
      <xdr:row>2</xdr:row>
      <xdr:rowOff>38100</xdr:rowOff>
    </xdr:to>
    <xdr:sp macro="" textlink="">
      <xdr:nvSpPr>
        <xdr:cNvPr id="10" name="Rectangle: Rounded Corners 2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E9ED5A9-0045-46F5-B117-1ADE9291B80F}"/>
            </a:ext>
          </a:extLst>
        </xdr:cNvPr>
        <xdr:cNvSpPr/>
      </xdr:nvSpPr>
      <xdr:spPr>
        <a:xfrm>
          <a:off x="8858250" y="2476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209550</xdr:colOff>
      <xdr:row>3</xdr:row>
      <xdr:rowOff>47625</xdr:rowOff>
    </xdr:from>
    <xdr:to>
      <xdr:col>16</xdr:col>
      <xdr:colOff>247650</xdr:colOff>
      <xdr:row>4</xdr:row>
      <xdr:rowOff>76200</xdr:rowOff>
    </xdr:to>
    <xdr:sp macro="" textlink="">
      <xdr:nvSpPr>
        <xdr:cNvPr id="11" name="Rectangle: Rounded Corners 2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B291023-5A37-4EAD-A804-DC5CE9EE1C67}"/>
            </a:ext>
          </a:extLst>
        </xdr:cNvPr>
        <xdr:cNvSpPr/>
      </xdr:nvSpPr>
      <xdr:spPr>
        <a:xfrm>
          <a:off x="8867775" y="71437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4</xdr:row>
      <xdr:rowOff>209550</xdr:rowOff>
    </xdr:from>
    <xdr:to>
      <xdr:col>16</xdr:col>
      <xdr:colOff>257175</xdr:colOff>
      <xdr:row>6</xdr:row>
      <xdr:rowOff>0</xdr:rowOff>
    </xdr:to>
    <xdr:sp macro="" textlink="">
      <xdr:nvSpPr>
        <xdr:cNvPr id="12" name="Rectangle: Rounded Corners 2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4A8525-F295-44EA-8C5C-9AC05CA12379}"/>
            </a:ext>
          </a:extLst>
        </xdr:cNvPr>
        <xdr:cNvSpPr/>
      </xdr:nvSpPr>
      <xdr:spPr>
        <a:xfrm>
          <a:off x="8877300" y="111442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6</xdr:row>
      <xdr:rowOff>152400</xdr:rowOff>
    </xdr:from>
    <xdr:to>
      <xdr:col>16</xdr:col>
      <xdr:colOff>257175</xdr:colOff>
      <xdr:row>7</xdr:row>
      <xdr:rowOff>180975</xdr:rowOff>
    </xdr:to>
    <xdr:sp macro="" textlink="">
      <xdr:nvSpPr>
        <xdr:cNvPr id="13" name="Rectangle: Rounded Corners 3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42BFCC6-0AD8-45A7-B684-4B705686D169}"/>
            </a:ext>
          </a:extLst>
        </xdr:cNvPr>
        <xdr:cNvSpPr/>
      </xdr:nvSpPr>
      <xdr:spPr>
        <a:xfrm>
          <a:off x="8877300" y="153352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7</xdr:row>
      <xdr:rowOff>352425</xdr:rowOff>
    </xdr:from>
    <xdr:to>
      <xdr:col>16</xdr:col>
      <xdr:colOff>257175</xdr:colOff>
      <xdr:row>8</xdr:row>
      <xdr:rowOff>152400</xdr:rowOff>
    </xdr:to>
    <xdr:sp macro="" textlink="">
      <xdr:nvSpPr>
        <xdr:cNvPr id="14" name="Rectangle: Rounded Corners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0A7EB8B-E18C-4D06-BC55-1BFDB18EDE7E}"/>
            </a:ext>
          </a:extLst>
        </xdr:cNvPr>
        <xdr:cNvSpPr/>
      </xdr:nvSpPr>
      <xdr:spPr>
        <a:xfrm>
          <a:off x="8877300" y="1971675"/>
          <a:ext cx="1257300" cy="266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9</xdr:row>
      <xdr:rowOff>66675</xdr:rowOff>
    </xdr:from>
    <xdr:to>
      <xdr:col>16</xdr:col>
      <xdr:colOff>257175</xdr:colOff>
      <xdr:row>10</xdr:row>
      <xdr:rowOff>95250</xdr:rowOff>
    </xdr:to>
    <xdr:sp macro="" textlink="">
      <xdr:nvSpPr>
        <xdr:cNvPr id="15" name="Rectangle: Rounded Corners 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1B2B9A54-17AA-422E-B081-48663B3A755F}"/>
            </a:ext>
          </a:extLst>
        </xdr:cNvPr>
        <xdr:cNvSpPr/>
      </xdr:nvSpPr>
      <xdr:spPr>
        <a:xfrm>
          <a:off x="8877300" y="23907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11</xdr:row>
      <xdr:rowOff>9525</xdr:rowOff>
    </xdr:from>
    <xdr:to>
      <xdr:col>16</xdr:col>
      <xdr:colOff>257175</xdr:colOff>
      <xdr:row>12</xdr:row>
      <xdr:rowOff>38100</xdr:rowOff>
    </xdr:to>
    <xdr:sp macro="" textlink="">
      <xdr:nvSpPr>
        <xdr:cNvPr id="16" name="Rectangle: Rounded Corners 3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79A8F24-5FF6-494F-8B6A-74439BCCDECD}"/>
            </a:ext>
          </a:extLst>
        </xdr:cNvPr>
        <xdr:cNvSpPr/>
      </xdr:nvSpPr>
      <xdr:spPr>
        <a:xfrm>
          <a:off x="8877300" y="28098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228600</xdr:colOff>
      <xdr:row>12</xdr:row>
      <xdr:rowOff>190500</xdr:rowOff>
    </xdr:from>
    <xdr:to>
      <xdr:col>16</xdr:col>
      <xdr:colOff>266700</xdr:colOff>
      <xdr:row>13</xdr:row>
      <xdr:rowOff>219075</xdr:rowOff>
    </xdr:to>
    <xdr:sp macro="" textlink="">
      <xdr:nvSpPr>
        <xdr:cNvPr id="17" name="Rectangle: Rounded Corners 3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BF47BA84-3053-44C3-B09D-80F5FDE64980}"/>
            </a:ext>
          </a:extLst>
        </xdr:cNvPr>
        <xdr:cNvSpPr/>
      </xdr:nvSpPr>
      <xdr:spPr>
        <a:xfrm>
          <a:off x="8886825" y="322897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47625</xdr:colOff>
      <xdr:row>14</xdr:row>
      <xdr:rowOff>123825</xdr:rowOff>
    </xdr:from>
    <xdr:to>
      <xdr:col>14</xdr:col>
      <xdr:colOff>85725</xdr:colOff>
      <xdr:row>15</xdr:row>
      <xdr:rowOff>152400</xdr:rowOff>
    </xdr:to>
    <xdr:sp macro="" textlink="">
      <xdr:nvSpPr>
        <xdr:cNvPr id="18" name="Rectangle: Rounded Corners 3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170982C-4F8C-44E3-B469-CACE0251DA74}"/>
            </a:ext>
          </a:extLst>
        </xdr:cNvPr>
        <xdr:cNvSpPr/>
      </xdr:nvSpPr>
      <xdr:spPr>
        <a:xfrm>
          <a:off x="7486650" y="3638550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285750</xdr:colOff>
      <xdr:row>2</xdr:row>
      <xdr:rowOff>19050</xdr:rowOff>
    </xdr:from>
    <xdr:to>
      <xdr:col>7</xdr:col>
      <xdr:colOff>514350</xdr:colOff>
      <xdr:row>2</xdr:row>
      <xdr:rowOff>28575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4E30A89B-6ABC-4198-B0BD-AB93CCBF744F}"/>
            </a:ext>
          </a:extLst>
        </xdr:cNvPr>
        <xdr:cNvCxnSpPr/>
      </xdr:nvCxnSpPr>
      <xdr:spPr>
        <a:xfrm>
          <a:off x="2295525" y="495300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742950</xdr:colOff>
      <xdr:row>0</xdr:row>
      <xdr:rowOff>0</xdr:rowOff>
    </xdr:from>
    <xdr:to>
      <xdr:col>11</xdr:col>
      <xdr:colOff>0</xdr:colOff>
      <xdr:row>2</xdr:row>
      <xdr:rowOff>133350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AF0A6B8D-730E-42E0-97E1-9F8F74498ADD}"/>
            </a:ext>
          </a:extLst>
        </xdr:cNvPr>
        <xdr:cNvSpPr txBox="1">
          <a:spLocks noChangeArrowheads="1"/>
        </xdr:cNvSpPr>
      </xdr:nvSpPr>
      <xdr:spPr bwMode="auto">
        <a:xfrm>
          <a:off x="4867275" y="0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14</xdr:col>
      <xdr:colOff>38100</xdr:colOff>
      <xdr:row>2</xdr:row>
      <xdr:rowOff>28575</xdr:rowOff>
    </xdr:to>
    <xdr:sp macro="" textlink="">
      <xdr:nvSpPr>
        <xdr:cNvPr id="2" name="Rectangle: Rounded Corners 19">
          <a:extLst>
            <a:ext uri="{FF2B5EF4-FFF2-40B4-BE49-F238E27FC236}">
              <a16:creationId xmlns:a16="http://schemas.microsoft.com/office/drawing/2014/main" id="{83D8F65B-F328-45BD-84B6-84A2B08D239C}"/>
            </a:ext>
          </a:extLst>
        </xdr:cNvPr>
        <xdr:cNvSpPr/>
      </xdr:nvSpPr>
      <xdr:spPr>
        <a:xfrm>
          <a:off x="7439025" y="2381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9525</xdr:colOff>
      <xdr:row>3</xdr:row>
      <xdr:rowOff>38100</xdr:rowOff>
    </xdr:from>
    <xdr:to>
      <xdr:col>14</xdr:col>
      <xdr:colOff>47625</xdr:colOff>
      <xdr:row>4</xdr:row>
      <xdr:rowOff>66675</xdr:rowOff>
    </xdr:to>
    <xdr:sp macro="" textlink="">
      <xdr:nvSpPr>
        <xdr:cNvPr id="3" name="Rectangle: Rounded Corners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9891AC-A865-42E1-8458-964C92A19F9D}"/>
            </a:ext>
          </a:extLst>
        </xdr:cNvPr>
        <xdr:cNvSpPr/>
      </xdr:nvSpPr>
      <xdr:spPr>
        <a:xfrm>
          <a:off x="7448550" y="704850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4</xdr:row>
      <xdr:rowOff>200025</xdr:rowOff>
    </xdr:from>
    <xdr:to>
      <xdr:col>14</xdr:col>
      <xdr:colOff>57150</xdr:colOff>
      <xdr:row>5</xdr:row>
      <xdr:rowOff>228600</xdr:rowOff>
    </xdr:to>
    <xdr:sp macro="" textlink="">
      <xdr:nvSpPr>
        <xdr:cNvPr id="4" name="Rectangle: Rounded Corners 2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2EFEFAC-2EBA-4056-B6C2-C300ECB7D993}"/>
            </a:ext>
          </a:extLst>
        </xdr:cNvPr>
        <xdr:cNvSpPr/>
      </xdr:nvSpPr>
      <xdr:spPr>
        <a:xfrm>
          <a:off x="7458075" y="110490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6</xdr:row>
      <xdr:rowOff>142875</xdr:rowOff>
    </xdr:from>
    <xdr:to>
      <xdr:col>14</xdr:col>
      <xdr:colOff>57150</xdr:colOff>
      <xdr:row>7</xdr:row>
      <xdr:rowOff>171450</xdr:rowOff>
    </xdr:to>
    <xdr:sp macro="" textlink="">
      <xdr:nvSpPr>
        <xdr:cNvPr id="5" name="Rectangle: Rounded Corners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834741A-DCAE-4D61-8C63-D3AB5BE98E56}"/>
            </a:ext>
          </a:extLst>
        </xdr:cNvPr>
        <xdr:cNvSpPr/>
      </xdr:nvSpPr>
      <xdr:spPr>
        <a:xfrm>
          <a:off x="7458075" y="152400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7</xdr:row>
      <xdr:rowOff>342900</xdr:rowOff>
    </xdr:from>
    <xdr:to>
      <xdr:col>14</xdr:col>
      <xdr:colOff>57150</xdr:colOff>
      <xdr:row>8</xdr:row>
      <xdr:rowOff>142875</xdr:rowOff>
    </xdr:to>
    <xdr:sp macro="" textlink="">
      <xdr:nvSpPr>
        <xdr:cNvPr id="6" name="Rectangle: Rounded Corners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8EBB426-87F2-4CD5-B0ED-D5078BDA43A8}"/>
            </a:ext>
          </a:extLst>
        </xdr:cNvPr>
        <xdr:cNvSpPr/>
      </xdr:nvSpPr>
      <xdr:spPr>
        <a:xfrm>
          <a:off x="7458075" y="196215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9</xdr:row>
      <xdr:rowOff>57150</xdr:rowOff>
    </xdr:from>
    <xdr:to>
      <xdr:col>14</xdr:col>
      <xdr:colOff>57150</xdr:colOff>
      <xdr:row>10</xdr:row>
      <xdr:rowOff>85725</xdr:rowOff>
    </xdr:to>
    <xdr:sp macro="" textlink="">
      <xdr:nvSpPr>
        <xdr:cNvPr id="7" name="Rectangle: Rounded Corners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B3BC4DA-317C-43B8-B6FF-1DE9413F9FD7}"/>
            </a:ext>
          </a:extLst>
        </xdr:cNvPr>
        <xdr:cNvSpPr/>
      </xdr:nvSpPr>
      <xdr:spPr>
        <a:xfrm>
          <a:off x="7458075" y="23812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11</xdr:row>
      <xdr:rowOff>0</xdr:rowOff>
    </xdr:from>
    <xdr:to>
      <xdr:col>14</xdr:col>
      <xdr:colOff>57150</xdr:colOff>
      <xdr:row>12</xdr:row>
      <xdr:rowOff>28575</xdr:rowOff>
    </xdr:to>
    <xdr:sp macro="" textlink="">
      <xdr:nvSpPr>
        <xdr:cNvPr id="8" name="Rectangle: Rounded Corners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84A904F-8A3E-4C08-A3B4-22ED5805868D}"/>
            </a:ext>
          </a:extLst>
        </xdr:cNvPr>
        <xdr:cNvSpPr/>
      </xdr:nvSpPr>
      <xdr:spPr>
        <a:xfrm>
          <a:off x="7458075" y="28003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28575</xdr:colOff>
      <xdr:row>12</xdr:row>
      <xdr:rowOff>180975</xdr:rowOff>
    </xdr:from>
    <xdr:to>
      <xdr:col>14</xdr:col>
      <xdr:colOff>66675</xdr:colOff>
      <xdr:row>13</xdr:row>
      <xdr:rowOff>209550</xdr:rowOff>
    </xdr:to>
    <xdr:sp macro="" textlink="">
      <xdr:nvSpPr>
        <xdr:cNvPr id="9" name="Rectangle: Rounded Corners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3A0B79-69A5-494C-92BC-17BB17C6EB3A}"/>
            </a:ext>
          </a:extLst>
        </xdr:cNvPr>
        <xdr:cNvSpPr/>
      </xdr:nvSpPr>
      <xdr:spPr>
        <a:xfrm>
          <a:off x="7467600" y="3219450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200025</xdr:colOff>
      <xdr:row>1</xdr:row>
      <xdr:rowOff>9525</xdr:rowOff>
    </xdr:from>
    <xdr:to>
      <xdr:col>16</xdr:col>
      <xdr:colOff>238125</xdr:colOff>
      <xdr:row>2</xdr:row>
      <xdr:rowOff>38100</xdr:rowOff>
    </xdr:to>
    <xdr:sp macro="" textlink="">
      <xdr:nvSpPr>
        <xdr:cNvPr id="10" name="Rectangle: Rounded Corners 2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E9ED5A9-0045-46F5-B117-1ADE9291B80F}"/>
            </a:ext>
          </a:extLst>
        </xdr:cNvPr>
        <xdr:cNvSpPr/>
      </xdr:nvSpPr>
      <xdr:spPr>
        <a:xfrm>
          <a:off x="8858250" y="2476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209550</xdr:colOff>
      <xdr:row>3</xdr:row>
      <xdr:rowOff>47625</xdr:rowOff>
    </xdr:from>
    <xdr:to>
      <xdr:col>16</xdr:col>
      <xdr:colOff>247650</xdr:colOff>
      <xdr:row>4</xdr:row>
      <xdr:rowOff>76200</xdr:rowOff>
    </xdr:to>
    <xdr:sp macro="" textlink="">
      <xdr:nvSpPr>
        <xdr:cNvPr id="11" name="Rectangle: Rounded Corners 2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B291023-5A37-4EAD-A804-DC5CE9EE1C67}"/>
            </a:ext>
          </a:extLst>
        </xdr:cNvPr>
        <xdr:cNvSpPr/>
      </xdr:nvSpPr>
      <xdr:spPr>
        <a:xfrm>
          <a:off x="8867775" y="71437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4</xdr:row>
      <xdr:rowOff>209550</xdr:rowOff>
    </xdr:from>
    <xdr:to>
      <xdr:col>16</xdr:col>
      <xdr:colOff>257175</xdr:colOff>
      <xdr:row>6</xdr:row>
      <xdr:rowOff>0</xdr:rowOff>
    </xdr:to>
    <xdr:sp macro="" textlink="">
      <xdr:nvSpPr>
        <xdr:cNvPr id="12" name="Rectangle: Rounded Corners 2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4A8525-F295-44EA-8C5C-9AC05CA12379}"/>
            </a:ext>
          </a:extLst>
        </xdr:cNvPr>
        <xdr:cNvSpPr/>
      </xdr:nvSpPr>
      <xdr:spPr>
        <a:xfrm>
          <a:off x="8877300" y="111442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6</xdr:row>
      <xdr:rowOff>152400</xdr:rowOff>
    </xdr:from>
    <xdr:to>
      <xdr:col>16</xdr:col>
      <xdr:colOff>257175</xdr:colOff>
      <xdr:row>7</xdr:row>
      <xdr:rowOff>180975</xdr:rowOff>
    </xdr:to>
    <xdr:sp macro="" textlink="">
      <xdr:nvSpPr>
        <xdr:cNvPr id="13" name="Rectangle: Rounded Corners 3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42BFCC6-0AD8-45A7-B684-4B705686D169}"/>
            </a:ext>
          </a:extLst>
        </xdr:cNvPr>
        <xdr:cNvSpPr/>
      </xdr:nvSpPr>
      <xdr:spPr>
        <a:xfrm>
          <a:off x="8877300" y="153352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7</xdr:row>
      <xdr:rowOff>352425</xdr:rowOff>
    </xdr:from>
    <xdr:to>
      <xdr:col>16</xdr:col>
      <xdr:colOff>257175</xdr:colOff>
      <xdr:row>8</xdr:row>
      <xdr:rowOff>152400</xdr:rowOff>
    </xdr:to>
    <xdr:sp macro="" textlink="">
      <xdr:nvSpPr>
        <xdr:cNvPr id="14" name="Rectangle: Rounded Corners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0A7EB8B-E18C-4D06-BC55-1BFDB18EDE7E}"/>
            </a:ext>
          </a:extLst>
        </xdr:cNvPr>
        <xdr:cNvSpPr/>
      </xdr:nvSpPr>
      <xdr:spPr>
        <a:xfrm>
          <a:off x="8877300" y="1971675"/>
          <a:ext cx="1257300" cy="266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9</xdr:row>
      <xdr:rowOff>66675</xdr:rowOff>
    </xdr:from>
    <xdr:to>
      <xdr:col>16</xdr:col>
      <xdr:colOff>257175</xdr:colOff>
      <xdr:row>10</xdr:row>
      <xdr:rowOff>95250</xdr:rowOff>
    </xdr:to>
    <xdr:sp macro="" textlink="">
      <xdr:nvSpPr>
        <xdr:cNvPr id="15" name="Rectangle: Rounded Corners 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1B2B9A54-17AA-422E-B081-48663B3A755F}"/>
            </a:ext>
          </a:extLst>
        </xdr:cNvPr>
        <xdr:cNvSpPr/>
      </xdr:nvSpPr>
      <xdr:spPr>
        <a:xfrm>
          <a:off x="8877300" y="23907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11</xdr:row>
      <xdr:rowOff>9525</xdr:rowOff>
    </xdr:from>
    <xdr:to>
      <xdr:col>16</xdr:col>
      <xdr:colOff>257175</xdr:colOff>
      <xdr:row>12</xdr:row>
      <xdr:rowOff>38100</xdr:rowOff>
    </xdr:to>
    <xdr:sp macro="" textlink="">
      <xdr:nvSpPr>
        <xdr:cNvPr id="16" name="Rectangle: Rounded Corners 3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79A8F24-5FF6-494F-8B6A-74439BCCDECD}"/>
            </a:ext>
          </a:extLst>
        </xdr:cNvPr>
        <xdr:cNvSpPr/>
      </xdr:nvSpPr>
      <xdr:spPr>
        <a:xfrm>
          <a:off x="8877300" y="28098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228600</xdr:colOff>
      <xdr:row>12</xdr:row>
      <xdr:rowOff>190500</xdr:rowOff>
    </xdr:from>
    <xdr:to>
      <xdr:col>16</xdr:col>
      <xdr:colOff>266700</xdr:colOff>
      <xdr:row>13</xdr:row>
      <xdr:rowOff>219075</xdr:rowOff>
    </xdr:to>
    <xdr:sp macro="" textlink="">
      <xdr:nvSpPr>
        <xdr:cNvPr id="17" name="Rectangle: Rounded Corners 3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BF47BA84-3053-44C3-B09D-80F5FDE64980}"/>
            </a:ext>
          </a:extLst>
        </xdr:cNvPr>
        <xdr:cNvSpPr/>
      </xdr:nvSpPr>
      <xdr:spPr>
        <a:xfrm>
          <a:off x="8886825" y="322897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47625</xdr:colOff>
      <xdr:row>14</xdr:row>
      <xdr:rowOff>123825</xdr:rowOff>
    </xdr:from>
    <xdr:to>
      <xdr:col>14</xdr:col>
      <xdr:colOff>85725</xdr:colOff>
      <xdr:row>15</xdr:row>
      <xdr:rowOff>152400</xdr:rowOff>
    </xdr:to>
    <xdr:sp macro="" textlink="">
      <xdr:nvSpPr>
        <xdr:cNvPr id="18" name="Rectangle: Rounded Corners 3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170982C-4F8C-44E3-B469-CACE0251DA74}"/>
            </a:ext>
          </a:extLst>
        </xdr:cNvPr>
        <xdr:cNvSpPr/>
      </xdr:nvSpPr>
      <xdr:spPr>
        <a:xfrm>
          <a:off x="7486650" y="3638550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285750</xdr:colOff>
      <xdr:row>2</xdr:row>
      <xdr:rowOff>19050</xdr:rowOff>
    </xdr:from>
    <xdr:to>
      <xdr:col>7</xdr:col>
      <xdr:colOff>514350</xdr:colOff>
      <xdr:row>2</xdr:row>
      <xdr:rowOff>28575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4E30A89B-6ABC-4198-B0BD-AB93CCBF744F}"/>
            </a:ext>
          </a:extLst>
        </xdr:cNvPr>
        <xdr:cNvCxnSpPr/>
      </xdr:nvCxnSpPr>
      <xdr:spPr>
        <a:xfrm>
          <a:off x="2295525" y="495300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742950</xdr:colOff>
      <xdr:row>0</xdr:row>
      <xdr:rowOff>0</xdr:rowOff>
    </xdr:from>
    <xdr:to>
      <xdr:col>11</xdr:col>
      <xdr:colOff>0</xdr:colOff>
      <xdr:row>2</xdr:row>
      <xdr:rowOff>133350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AF0A6B8D-730E-42E0-97E1-9F8F74498ADD}"/>
            </a:ext>
          </a:extLst>
        </xdr:cNvPr>
        <xdr:cNvSpPr txBox="1">
          <a:spLocks noChangeArrowheads="1"/>
        </xdr:cNvSpPr>
      </xdr:nvSpPr>
      <xdr:spPr bwMode="auto">
        <a:xfrm>
          <a:off x="4867275" y="0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</xdr:row>
      <xdr:rowOff>0</xdr:rowOff>
    </xdr:from>
    <xdr:to>
      <xdr:col>16</xdr:col>
      <xdr:colOff>38100</xdr:colOff>
      <xdr:row>2</xdr:row>
      <xdr:rowOff>76200</xdr:rowOff>
    </xdr:to>
    <xdr:sp macro="" textlink="">
      <xdr:nvSpPr>
        <xdr:cNvPr id="2" name="Rectangle: Rounded Corners 20">
          <a:extLst>
            <a:ext uri="{FF2B5EF4-FFF2-40B4-BE49-F238E27FC236}">
              <a16:creationId xmlns:a16="http://schemas.microsoft.com/office/drawing/2014/main" id="{77112AFF-ED78-41EA-A747-52BA8E0F99D3}"/>
            </a:ext>
          </a:extLst>
        </xdr:cNvPr>
        <xdr:cNvSpPr/>
      </xdr:nvSpPr>
      <xdr:spPr>
        <a:xfrm>
          <a:off x="7448550" y="19050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9525</xdr:colOff>
      <xdr:row>3</xdr:row>
      <xdr:rowOff>85725</xdr:rowOff>
    </xdr:from>
    <xdr:to>
      <xdr:col>16</xdr:col>
      <xdr:colOff>47625</xdr:colOff>
      <xdr:row>4</xdr:row>
      <xdr:rowOff>133350</xdr:rowOff>
    </xdr:to>
    <xdr:sp macro="" textlink="">
      <xdr:nvSpPr>
        <xdr:cNvPr id="3" name="Rectangle: Rounded Corners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BAB438-53EE-4838-B185-2494A4CC6570}"/>
            </a:ext>
          </a:extLst>
        </xdr:cNvPr>
        <xdr:cNvSpPr/>
      </xdr:nvSpPr>
      <xdr:spPr>
        <a:xfrm>
          <a:off x="7458075" y="6572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5</xdr:row>
      <xdr:rowOff>47625</xdr:rowOff>
    </xdr:from>
    <xdr:to>
      <xdr:col>16</xdr:col>
      <xdr:colOff>57150</xdr:colOff>
      <xdr:row>6</xdr:row>
      <xdr:rowOff>123825</xdr:rowOff>
    </xdr:to>
    <xdr:sp macro="" textlink="">
      <xdr:nvSpPr>
        <xdr:cNvPr id="4" name="Rectangle: Rounded Corners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5049177-B627-4BED-83D8-2ABB7CC37098}"/>
            </a:ext>
          </a:extLst>
        </xdr:cNvPr>
        <xdr:cNvSpPr/>
      </xdr:nvSpPr>
      <xdr:spPr>
        <a:xfrm>
          <a:off x="7467600" y="10572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7</xdr:row>
      <xdr:rowOff>38100</xdr:rowOff>
    </xdr:from>
    <xdr:to>
      <xdr:col>16</xdr:col>
      <xdr:colOff>57150</xdr:colOff>
      <xdr:row>8</xdr:row>
      <xdr:rowOff>66675</xdr:rowOff>
    </xdr:to>
    <xdr:sp macro="" textlink="">
      <xdr:nvSpPr>
        <xdr:cNvPr id="5" name="Rectangle: Rounded Corners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DAC18F5-5C47-4C5F-B610-2FD78CF346E4}"/>
            </a:ext>
          </a:extLst>
        </xdr:cNvPr>
        <xdr:cNvSpPr/>
      </xdr:nvSpPr>
      <xdr:spPr>
        <a:xfrm>
          <a:off x="7467600" y="14763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9</xdr:row>
      <xdr:rowOff>0</xdr:rowOff>
    </xdr:from>
    <xdr:to>
      <xdr:col>16</xdr:col>
      <xdr:colOff>57150</xdr:colOff>
      <xdr:row>12</xdr:row>
      <xdr:rowOff>28575</xdr:rowOff>
    </xdr:to>
    <xdr:sp macro="" textlink="">
      <xdr:nvSpPr>
        <xdr:cNvPr id="6" name="Rectangle: Rounded Corners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77210B-A29D-4AAC-AE31-5887B21F916C}"/>
            </a:ext>
          </a:extLst>
        </xdr:cNvPr>
        <xdr:cNvSpPr/>
      </xdr:nvSpPr>
      <xdr:spPr>
        <a:xfrm>
          <a:off x="7467600" y="1914525"/>
          <a:ext cx="1257300" cy="7429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12</xdr:row>
      <xdr:rowOff>180975</xdr:rowOff>
    </xdr:from>
    <xdr:to>
      <xdr:col>16</xdr:col>
      <xdr:colOff>57150</xdr:colOff>
      <xdr:row>13</xdr:row>
      <xdr:rowOff>209550</xdr:rowOff>
    </xdr:to>
    <xdr:sp macro="" textlink="">
      <xdr:nvSpPr>
        <xdr:cNvPr id="7" name="Rectangle: Rounded Corners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C40006A-3257-4CA6-AABA-C0DBB2CD6342}"/>
            </a:ext>
          </a:extLst>
        </xdr:cNvPr>
        <xdr:cNvSpPr/>
      </xdr:nvSpPr>
      <xdr:spPr>
        <a:xfrm>
          <a:off x="7467600" y="2809875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13</xdr:row>
      <xdr:rowOff>361950</xdr:rowOff>
    </xdr:from>
    <xdr:to>
      <xdr:col>16</xdr:col>
      <xdr:colOff>57150</xdr:colOff>
      <xdr:row>14</xdr:row>
      <xdr:rowOff>171450</xdr:rowOff>
    </xdr:to>
    <xdr:sp macro="" textlink="">
      <xdr:nvSpPr>
        <xdr:cNvPr id="8" name="Rectangle: Rounded Corners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8B3EA79-3498-4679-92E1-5A1C581DABC4}"/>
            </a:ext>
          </a:extLst>
        </xdr:cNvPr>
        <xdr:cNvSpPr/>
      </xdr:nvSpPr>
      <xdr:spPr>
        <a:xfrm>
          <a:off x="7467600" y="3228975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28575</xdr:colOff>
      <xdr:row>14</xdr:row>
      <xdr:rowOff>323850</xdr:rowOff>
    </xdr:from>
    <xdr:to>
      <xdr:col>16</xdr:col>
      <xdr:colOff>66675</xdr:colOff>
      <xdr:row>15</xdr:row>
      <xdr:rowOff>133350</xdr:rowOff>
    </xdr:to>
    <xdr:sp macro="" textlink="">
      <xdr:nvSpPr>
        <xdr:cNvPr id="9" name="Rectangle: Rounded Corners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4311238-3B4C-4DF6-A164-E7D919F513EF}"/>
            </a:ext>
          </a:extLst>
        </xdr:cNvPr>
        <xdr:cNvSpPr/>
      </xdr:nvSpPr>
      <xdr:spPr>
        <a:xfrm>
          <a:off x="7477125" y="3648075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200025</xdr:colOff>
      <xdr:row>1</xdr:row>
      <xdr:rowOff>9525</xdr:rowOff>
    </xdr:from>
    <xdr:to>
      <xdr:col>18</xdr:col>
      <xdr:colOff>238125</xdr:colOff>
      <xdr:row>2</xdr:row>
      <xdr:rowOff>85725</xdr:rowOff>
    </xdr:to>
    <xdr:sp macro="" textlink="">
      <xdr:nvSpPr>
        <xdr:cNvPr id="10" name="Rectangle: Rounded Corners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47AE897-0D7E-4D58-AAA8-143FA7F7A3D7}"/>
            </a:ext>
          </a:extLst>
        </xdr:cNvPr>
        <xdr:cNvSpPr/>
      </xdr:nvSpPr>
      <xdr:spPr>
        <a:xfrm>
          <a:off x="8867775" y="2000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209550</xdr:colOff>
      <xdr:row>3</xdr:row>
      <xdr:rowOff>95250</xdr:rowOff>
    </xdr:from>
    <xdr:to>
      <xdr:col>18</xdr:col>
      <xdr:colOff>247650</xdr:colOff>
      <xdr:row>4</xdr:row>
      <xdr:rowOff>142875</xdr:rowOff>
    </xdr:to>
    <xdr:sp macro="" textlink="">
      <xdr:nvSpPr>
        <xdr:cNvPr id="11" name="Rectangle: Rounded Corners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A1D8448-37E6-4048-A30D-857A57EAC70A}"/>
            </a:ext>
          </a:extLst>
        </xdr:cNvPr>
        <xdr:cNvSpPr/>
      </xdr:nvSpPr>
      <xdr:spPr>
        <a:xfrm>
          <a:off x="8877300" y="6667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5</xdr:row>
      <xdr:rowOff>57150</xdr:rowOff>
    </xdr:from>
    <xdr:to>
      <xdr:col>18</xdr:col>
      <xdr:colOff>257175</xdr:colOff>
      <xdr:row>6</xdr:row>
      <xdr:rowOff>133350</xdr:rowOff>
    </xdr:to>
    <xdr:sp macro="" textlink="">
      <xdr:nvSpPr>
        <xdr:cNvPr id="12" name="Rectangle: Rounded Corners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73ADE40-0D9C-4EB4-9FF8-CA490F274F9C}"/>
            </a:ext>
          </a:extLst>
        </xdr:cNvPr>
        <xdr:cNvSpPr/>
      </xdr:nvSpPr>
      <xdr:spPr>
        <a:xfrm>
          <a:off x="8886825" y="10668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7</xdr:row>
      <xdr:rowOff>47625</xdr:rowOff>
    </xdr:from>
    <xdr:to>
      <xdr:col>18</xdr:col>
      <xdr:colOff>257175</xdr:colOff>
      <xdr:row>8</xdr:row>
      <xdr:rowOff>76200</xdr:rowOff>
    </xdr:to>
    <xdr:sp macro="" textlink="">
      <xdr:nvSpPr>
        <xdr:cNvPr id="13" name="Rectangle: Rounded Corners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2D7AE99-1586-456A-8CDF-656716223304}"/>
            </a:ext>
          </a:extLst>
        </xdr:cNvPr>
        <xdr:cNvSpPr/>
      </xdr:nvSpPr>
      <xdr:spPr>
        <a:xfrm>
          <a:off x="8886825" y="14859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9</xdr:row>
      <xdr:rowOff>9525</xdr:rowOff>
    </xdr:from>
    <xdr:to>
      <xdr:col>18</xdr:col>
      <xdr:colOff>257175</xdr:colOff>
      <xdr:row>12</xdr:row>
      <xdr:rowOff>38100</xdr:rowOff>
    </xdr:to>
    <xdr:sp macro="" textlink="">
      <xdr:nvSpPr>
        <xdr:cNvPr id="14" name="Rectangle: Rounded Corners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0C9F4B3-3F2A-4F8F-BD8E-3160FAC4C67D}"/>
            </a:ext>
          </a:extLst>
        </xdr:cNvPr>
        <xdr:cNvSpPr/>
      </xdr:nvSpPr>
      <xdr:spPr>
        <a:xfrm>
          <a:off x="8886825" y="1924050"/>
          <a:ext cx="1257300" cy="7429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12</xdr:row>
      <xdr:rowOff>190500</xdr:rowOff>
    </xdr:from>
    <xdr:to>
      <xdr:col>18</xdr:col>
      <xdr:colOff>257175</xdr:colOff>
      <xdr:row>13</xdr:row>
      <xdr:rowOff>219075</xdr:rowOff>
    </xdr:to>
    <xdr:sp macro="" textlink="">
      <xdr:nvSpPr>
        <xdr:cNvPr id="15" name="Rectangle: Rounded Corners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7EB683C-7971-4809-B285-3C161D0F282C}"/>
            </a:ext>
          </a:extLst>
        </xdr:cNvPr>
        <xdr:cNvSpPr/>
      </xdr:nvSpPr>
      <xdr:spPr>
        <a:xfrm>
          <a:off x="8886825" y="28194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13</xdr:row>
      <xdr:rowOff>371475</xdr:rowOff>
    </xdr:from>
    <xdr:to>
      <xdr:col>18</xdr:col>
      <xdr:colOff>257175</xdr:colOff>
      <xdr:row>14</xdr:row>
      <xdr:rowOff>180975</xdr:rowOff>
    </xdr:to>
    <xdr:sp macro="" textlink="">
      <xdr:nvSpPr>
        <xdr:cNvPr id="16" name="Rectangle: Rounded Corners 3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48453E0E-F43C-458A-A3AA-CB297DD92D29}"/>
            </a:ext>
          </a:extLst>
        </xdr:cNvPr>
        <xdr:cNvSpPr/>
      </xdr:nvSpPr>
      <xdr:spPr>
        <a:xfrm>
          <a:off x="8886825" y="32385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228600</xdr:colOff>
      <xdr:row>14</xdr:row>
      <xdr:rowOff>333375</xdr:rowOff>
    </xdr:from>
    <xdr:to>
      <xdr:col>18</xdr:col>
      <xdr:colOff>266700</xdr:colOff>
      <xdr:row>15</xdr:row>
      <xdr:rowOff>142875</xdr:rowOff>
    </xdr:to>
    <xdr:sp macro="" textlink="">
      <xdr:nvSpPr>
        <xdr:cNvPr id="17" name="Rectangle: Rounded Corners 3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1B11AF8-F964-4DF1-BB1C-152E7A0A7837}"/>
            </a:ext>
          </a:extLst>
        </xdr:cNvPr>
        <xdr:cNvSpPr/>
      </xdr:nvSpPr>
      <xdr:spPr>
        <a:xfrm>
          <a:off x="8896350" y="3657600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47625</xdr:colOff>
      <xdr:row>15</xdr:row>
      <xdr:rowOff>285750</xdr:rowOff>
    </xdr:from>
    <xdr:to>
      <xdr:col>16</xdr:col>
      <xdr:colOff>85725</xdr:colOff>
      <xdr:row>16</xdr:row>
      <xdr:rowOff>95250</xdr:rowOff>
    </xdr:to>
    <xdr:sp macro="" textlink="">
      <xdr:nvSpPr>
        <xdr:cNvPr id="18" name="Rectangle: Rounded Corners 3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9EACB9A-02A7-4835-81AA-B45CF0E60ACF}"/>
            </a:ext>
          </a:extLst>
        </xdr:cNvPr>
        <xdr:cNvSpPr/>
      </xdr:nvSpPr>
      <xdr:spPr>
        <a:xfrm>
          <a:off x="7496175" y="4067175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276225</xdr:colOff>
      <xdr:row>5</xdr:row>
      <xdr:rowOff>28575</xdr:rowOff>
    </xdr:from>
    <xdr:to>
      <xdr:col>11</xdr:col>
      <xdr:colOff>247650</xdr:colOff>
      <xdr:row>5</xdr:row>
      <xdr:rowOff>38100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DB68E35D-8531-4987-9A75-5FE1FF71C389}"/>
            </a:ext>
          </a:extLst>
        </xdr:cNvPr>
        <xdr:cNvCxnSpPr/>
      </xdr:nvCxnSpPr>
      <xdr:spPr>
        <a:xfrm>
          <a:off x="3609975" y="1038225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0</xdr:row>
      <xdr:rowOff>9525</xdr:rowOff>
    </xdr:from>
    <xdr:to>
      <xdr:col>13</xdr:col>
      <xdr:colOff>0</xdr:colOff>
      <xdr:row>3</xdr:row>
      <xdr:rowOff>47625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981C8060-9CE5-49F8-959A-FE249320E271}"/>
            </a:ext>
          </a:extLst>
        </xdr:cNvPr>
        <xdr:cNvSpPr txBox="1">
          <a:spLocks noChangeArrowheads="1"/>
        </xdr:cNvSpPr>
      </xdr:nvSpPr>
      <xdr:spPr bwMode="auto">
        <a:xfrm>
          <a:off x="4972050" y="9525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TG6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</xdr:col>
      <xdr:colOff>0</xdr:colOff>
      <xdr:row>5</xdr:row>
      <xdr:rowOff>19050</xdr:rowOff>
    </xdr:from>
    <xdr:to>
      <xdr:col>4</xdr:col>
      <xdr:colOff>247650</xdr:colOff>
      <xdr:row>5</xdr:row>
      <xdr:rowOff>19050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7B4C8C31-92EB-4311-B573-785045E2FDD2}"/>
            </a:ext>
          </a:extLst>
        </xdr:cNvPr>
        <xdr:cNvCxnSpPr/>
      </xdr:nvCxnSpPr>
      <xdr:spPr>
        <a:xfrm>
          <a:off x="790575" y="1028700"/>
          <a:ext cx="819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14</xdr:col>
      <xdr:colOff>38100</xdr:colOff>
      <xdr:row>2</xdr:row>
      <xdr:rowOff>76200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C61B1B4-E320-46B8-AA76-E640EABDEBB3}"/>
            </a:ext>
          </a:extLst>
        </xdr:cNvPr>
        <xdr:cNvSpPr/>
      </xdr:nvSpPr>
      <xdr:spPr>
        <a:xfrm>
          <a:off x="7477125" y="19050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9525</xdr:colOff>
      <xdr:row>3</xdr:row>
      <xdr:rowOff>85725</xdr:rowOff>
    </xdr:from>
    <xdr:to>
      <xdr:col>14</xdr:col>
      <xdr:colOff>47625</xdr:colOff>
      <xdr:row>4</xdr:row>
      <xdr:rowOff>133350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6D3BB5-EB37-4A69-BA6D-82C5D5762C37}"/>
            </a:ext>
          </a:extLst>
        </xdr:cNvPr>
        <xdr:cNvSpPr/>
      </xdr:nvSpPr>
      <xdr:spPr>
        <a:xfrm>
          <a:off x="7486650" y="6572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5</xdr:row>
      <xdr:rowOff>47625</xdr:rowOff>
    </xdr:from>
    <xdr:to>
      <xdr:col>14</xdr:col>
      <xdr:colOff>57150</xdr:colOff>
      <xdr:row>6</xdr:row>
      <xdr:rowOff>76200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707B9F1-5BAC-4676-B2A2-15D3A201676C}"/>
            </a:ext>
          </a:extLst>
        </xdr:cNvPr>
        <xdr:cNvSpPr/>
      </xdr:nvSpPr>
      <xdr:spPr>
        <a:xfrm>
          <a:off x="7496175" y="10572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6</xdr:row>
      <xdr:rowOff>228600</xdr:rowOff>
    </xdr:from>
    <xdr:to>
      <xdr:col>14</xdr:col>
      <xdr:colOff>57150</xdr:colOff>
      <xdr:row>8</xdr:row>
      <xdr:rowOff>19050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0B6A75F-7B80-41CE-A993-16178B50AB0D}"/>
            </a:ext>
          </a:extLst>
        </xdr:cNvPr>
        <xdr:cNvSpPr/>
      </xdr:nvSpPr>
      <xdr:spPr>
        <a:xfrm>
          <a:off x="7496175" y="14763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8</xdr:row>
      <xdr:rowOff>190500</xdr:rowOff>
    </xdr:from>
    <xdr:to>
      <xdr:col>14</xdr:col>
      <xdr:colOff>57150</xdr:colOff>
      <xdr:row>9</xdr:row>
      <xdr:rowOff>219075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181CC6D-05EA-44AB-A0B5-B983761EC355}"/>
            </a:ext>
          </a:extLst>
        </xdr:cNvPr>
        <xdr:cNvSpPr/>
      </xdr:nvSpPr>
      <xdr:spPr>
        <a:xfrm>
          <a:off x="7496175" y="191452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10</xdr:row>
      <xdr:rowOff>133350</xdr:rowOff>
    </xdr:from>
    <xdr:to>
      <xdr:col>14</xdr:col>
      <xdr:colOff>57150</xdr:colOff>
      <xdr:row>11</xdr:row>
      <xdr:rowOff>161925</xdr:rowOff>
    </xdr:to>
    <xdr:sp macro="" textlink="">
      <xdr:nvSpPr>
        <xdr:cNvPr id="7" name="Rectangle: Rounded Corner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6AE7ADF-4199-436D-839E-0BBE374C5961}"/>
            </a:ext>
          </a:extLst>
        </xdr:cNvPr>
        <xdr:cNvSpPr/>
      </xdr:nvSpPr>
      <xdr:spPr>
        <a:xfrm>
          <a:off x="7496175" y="23431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11</xdr:row>
      <xdr:rowOff>314325</xdr:rowOff>
    </xdr:from>
    <xdr:to>
      <xdr:col>14</xdr:col>
      <xdr:colOff>57150</xdr:colOff>
      <xdr:row>12</xdr:row>
      <xdr:rowOff>114300</xdr:rowOff>
    </xdr:to>
    <xdr:sp macro="" textlink="">
      <xdr:nvSpPr>
        <xdr:cNvPr id="8" name="Rectangle: Rounded Corner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53F9029-0F40-448C-9CCF-D76EB930B64E}"/>
            </a:ext>
          </a:extLst>
        </xdr:cNvPr>
        <xdr:cNvSpPr/>
      </xdr:nvSpPr>
      <xdr:spPr>
        <a:xfrm>
          <a:off x="7496175" y="27622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28575</xdr:colOff>
      <xdr:row>12</xdr:row>
      <xdr:rowOff>266700</xdr:rowOff>
    </xdr:from>
    <xdr:to>
      <xdr:col>14</xdr:col>
      <xdr:colOff>66675</xdr:colOff>
      <xdr:row>13</xdr:row>
      <xdr:rowOff>0</xdr:rowOff>
    </xdr:to>
    <xdr:sp macro="" textlink="">
      <xdr:nvSpPr>
        <xdr:cNvPr id="9" name="Rectangle: Rounded Corner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4D6E6A-46B7-4964-965D-47E618F401BA}"/>
            </a:ext>
          </a:extLst>
        </xdr:cNvPr>
        <xdr:cNvSpPr/>
      </xdr:nvSpPr>
      <xdr:spPr>
        <a:xfrm>
          <a:off x="7505700" y="3181350"/>
          <a:ext cx="1257300" cy="2000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200025</xdr:colOff>
      <xdr:row>1</xdr:row>
      <xdr:rowOff>9525</xdr:rowOff>
    </xdr:from>
    <xdr:to>
      <xdr:col>16</xdr:col>
      <xdr:colOff>238125</xdr:colOff>
      <xdr:row>2</xdr:row>
      <xdr:rowOff>85725</xdr:rowOff>
    </xdr:to>
    <xdr:sp macro="" textlink="">
      <xdr:nvSpPr>
        <xdr:cNvPr id="10" name="Rectangle: Rounded Corner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E3BC51A-9120-4461-8145-49F021024968}"/>
            </a:ext>
          </a:extLst>
        </xdr:cNvPr>
        <xdr:cNvSpPr/>
      </xdr:nvSpPr>
      <xdr:spPr>
        <a:xfrm>
          <a:off x="8896350" y="2000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209550</xdr:colOff>
      <xdr:row>3</xdr:row>
      <xdr:rowOff>95250</xdr:rowOff>
    </xdr:from>
    <xdr:to>
      <xdr:col>16</xdr:col>
      <xdr:colOff>247650</xdr:colOff>
      <xdr:row>4</xdr:row>
      <xdr:rowOff>142875</xdr:rowOff>
    </xdr:to>
    <xdr:sp macro="" textlink="">
      <xdr:nvSpPr>
        <xdr:cNvPr id="11" name="Rectangle: Rounded Corners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EFC62C7-A30A-4742-B3D0-E204475FBCE5}"/>
            </a:ext>
          </a:extLst>
        </xdr:cNvPr>
        <xdr:cNvSpPr/>
      </xdr:nvSpPr>
      <xdr:spPr>
        <a:xfrm>
          <a:off x="8905875" y="6667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5</xdr:row>
      <xdr:rowOff>57150</xdr:rowOff>
    </xdr:from>
    <xdr:to>
      <xdr:col>16</xdr:col>
      <xdr:colOff>257175</xdr:colOff>
      <xdr:row>6</xdr:row>
      <xdr:rowOff>85725</xdr:rowOff>
    </xdr:to>
    <xdr:sp macro="" textlink="">
      <xdr:nvSpPr>
        <xdr:cNvPr id="12" name="Rectangle: Rounded Corner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F05E2FE-9DC6-458D-8D14-9352035AB2A9}"/>
            </a:ext>
          </a:extLst>
        </xdr:cNvPr>
        <xdr:cNvSpPr/>
      </xdr:nvSpPr>
      <xdr:spPr>
        <a:xfrm>
          <a:off x="8915400" y="10668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7</xdr:row>
      <xdr:rowOff>0</xdr:rowOff>
    </xdr:from>
    <xdr:to>
      <xdr:col>16</xdr:col>
      <xdr:colOff>257175</xdr:colOff>
      <xdr:row>8</xdr:row>
      <xdr:rowOff>28575</xdr:rowOff>
    </xdr:to>
    <xdr:sp macro="" textlink="">
      <xdr:nvSpPr>
        <xdr:cNvPr id="13" name="Rectangle: Rounded Corner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AA4E3E6-FEF1-4D5E-B05C-7EB0B2D66031}"/>
            </a:ext>
          </a:extLst>
        </xdr:cNvPr>
        <xdr:cNvSpPr/>
      </xdr:nvSpPr>
      <xdr:spPr>
        <a:xfrm>
          <a:off x="8915400" y="14859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8</xdr:row>
      <xdr:rowOff>200025</xdr:rowOff>
    </xdr:from>
    <xdr:to>
      <xdr:col>16</xdr:col>
      <xdr:colOff>257175</xdr:colOff>
      <xdr:row>9</xdr:row>
      <xdr:rowOff>228600</xdr:rowOff>
    </xdr:to>
    <xdr:sp macro="" textlink="">
      <xdr:nvSpPr>
        <xdr:cNvPr id="14" name="Rectangle: Rounded Corner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309C543-8F57-4E98-8DC6-DAEAD7B11A68}"/>
            </a:ext>
          </a:extLst>
        </xdr:cNvPr>
        <xdr:cNvSpPr/>
      </xdr:nvSpPr>
      <xdr:spPr>
        <a:xfrm>
          <a:off x="8915400" y="1924050"/>
          <a:ext cx="1257300" cy="266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10</xdr:row>
      <xdr:rowOff>142875</xdr:rowOff>
    </xdr:from>
    <xdr:to>
      <xdr:col>16</xdr:col>
      <xdr:colOff>257175</xdr:colOff>
      <xdr:row>11</xdr:row>
      <xdr:rowOff>171450</xdr:rowOff>
    </xdr:to>
    <xdr:sp macro="" textlink="">
      <xdr:nvSpPr>
        <xdr:cNvPr id="15" name="Rectangle: Rounded Corner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CC40B62-ADB9-4C1F-81AA-C434574A00B8}"/>
            </a:ext>
          </a:extLst>
        </xdr:cNvPr>
        <xdr:cNvSpPr/>
      </xdr:nvSpPr>
      <xdr:spPr>
        <a:xfrm>
          <a:off x="8915400" y="23526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11</xdr:row>
      <xdr:rowOff>323850</xdr:rowOff>
    </xdr:from>
    <xdr:to>
      <xdr:col>16</xdr:col>
      <xdr:colOff>257175</xdr:colOff>
      <xdr:row>12</xdr:row>
      <xdr:rowOff>123825</xdr:rowOff>
    </xdr:to>
    <xdr:sp macro="" textlink="">
      <xdr:nvSpPr>
        <xdr:cNvPr id="16" name="Rectangle: Rounded Corner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CB79F2E-93AB-43F8-A9D0-45D9EE72AECB}"/>
            </a:ext>
          </a:extLst>
        </xdr:cNvPr>
        <xdr:cNvSpPr/>
      </xdr:nvSpPr>
      <xdr:spPr>
        <a:xfrm>
          <a:off x="8915400" y="27717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228600</xdr:colOff>
      <xdr:row>12</xdr:row>
      <xdr:rowOff>276225</xdr:rowOff>
    </xdr:from>
    <xdr:to>
      <xdr:col>16</xdr:col>
      <xdr:colOff>266700</xdr:colOff>
      <xdr:row>13</xdr:row>
      <xdr:rowOff>0</xdr:rowOff>
    </xdr:to>
    <xdr:sp macro="" textlink="">
      <xdr:nvSpPr>
        <xdr:cNvPr id="17" name="Rectangle: Rounded Corner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0BE1898-2D17-4B22-A0B1-7439C64B83D6}"/>
            </a:ext>
          </a:extLst>
        </xdr:cNvPr>
        <xdr:cNvSpPr/>
      </xdr:nvSpPr>
      <xdr:spPr>
        <a:xfrm>
          <a:off x="8924925" y="3190875"/>
          <a:ext cx="1257300" cy="1905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47625</xdr:colOff>
      <xdr:row>14</xdr:row>
      <xdr:rowOff>0</xdr:rowOff>
    </xdr:from>
    <xdr:to>
      <xdr:col>14</xdr:col>
      <xdr:colOff>85725</xdr:colOff>
      <xdr:row>14</xdr:row>
      <xdr:rowOff>247650</xdr:rowOff>
    </xdr:to>
    <xdr:sp macro="" textlink="">
      <xdr:nvSpPr>
        <xdr:cNvPr id="18" name="Rectangle: Rounded Corners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15C0EC5-9631-4DBD-8D5C-0BA92CB31CB1}"/>
            </a:ext>
          </a:extLst>
        </xdr:cNvPr>
        <xdr:cNvSpPr/>
      </xdr:nvSpPr>
      <xdr:spPr>
        <a:xfrm>
          <a:off x="7524750" y="3381375"/>
          <a:ext cx="12573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609600</xdr:colOff>
      <xdr:row>5</xdr:row>
      <xdr:rowOff>28575</xdr:rowOff>
    </xdr:from>
    <xdr:to>
      <xdr:col>8</xdr:col>
      <xdr:colOff>476250</xdr:colOff>
      <xdr:row>5</xdr:row>
      <xdr:rowOff>38100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53B6820D-BF32-4985-BE5B-8E89B7926867}"/>
            </a:ext>
          </a:extLst>
        </xdr:cNvPr>
        <xdr:cNvCxnSpPr/>
      </xdr:nvCxnSpPr>
      <xdr:spPr>
        <a:xfrm>
          <a:off x="3400425" y="1038225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0</xdr:row>
      <xdr:rowOff>0</xdr:rowOff>
    </xdr:from>
    <xdr:to>
      <xdr:col>10</xdr:col>
      <xdr:colOff>29699</xdr:colOff>
      <xdr:row>3</xdr:row>
      <xdr:rowOff>38100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1D1CC315-D6E6-461F-9ED2-8D0AFCD1EF4C}"/>
            </a:ext>
          </a:extLst>
        </xdr:cNvPr>
        <xdr:cNvSpPr txBox="1">
          <a:spLocks noChangeArrowheads="1"/>
        </xdr:cNvSpPr>
      </xdr:nvSpPr>
      <xdr:spPr bwMode="auto">
        <a:xfrm>
          <a:off x="4933950" y="0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TG21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638175</xdr:colOff>
      <xdr:row>5</xdr:row>
      <xdr:rowOff>19050</xdr:rowOff>
    </xdr:from>
    <xdr:to>
      <xdr:col>3</xdr:col>
      <xdr:colOff>28575</xdr:colOff>
      <xdr:row>5</xdr:row>
      <xdr:rowOff>19050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2E88225A-054B-40DA-A7A3-69FE9959805E}"/>
            </a:ext>
          </a:extLst>
        </xdr:cNvPr>
        <xdr:cNvCxnSpPr/>
      </xdr:nvCxnSpPr>
      <xdr:spPr>
        <a:xfrm>
          <a:off x="638175" y="1028700"/>
          <a:ext cx="819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666750</xdr:colOff>
      <xdr:row>28</xdr:row>
      <xdr:rowOff>104775</xdr:rowOff>
    </xdr:from>
    <xdr:to>
      <xdr:col>9</xdr:col>
      <xdr:colOff>638175</xdr:colOff>
      <xdr:row>33</xdr:row>
      <xdr:rowOff>88401</xdr:rowOff>
    </xdr:to>
    <xdr:pic>
      <xdr:nvPicPr>
        <xdr:cNvPr id="22" name="Picture 21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7575" y="7372350"/>
          <a:ext cx="2228850" cy="10123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13</xdr:col>
      <xdr:colOff>38100</xdr:colOff>
      <xdr:row>2</xdr:row>
      <xdr:rowOff>76200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C61B1B4-E320-46B8-AA76-E640EABDEBB3}"/>
            </a:ext>
          </a:extLst>
        </xdr:cNvPr>
        <xdr:cNvSpPr/>
      </xdr:nvSpPr>
      <xdr:spPr>
        <a:xfrm>
          <a:off x="7477125" y="19050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9525</xdr:colOff>
      <xdr:row>3</xdr:row>
      <xdr:rowOff>85725</xdr:rowOff>
    </xdr:from>
    <xdr:to>
      <xdr:col>13</xdr:col>
      <xdr:colOff>47625</xdr:colOff>
      <xdr:row>4</xdr:row>
      <xdr:rowOff>133350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6D3BB5-EB37-4A69-BA6D-82C5D5762C37}"/>
            </a:ext>
          </a:extLst>
        </xdr:cNvPr>
        <xdr:cNvSpPr/>
      </xdr:nvSpPr>
      <xdr:spPr>
        <a:xfrm>
          <a:off x="7486650" y="6572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5</xdr:row>
      <xdr:rowOff>47625</xdr:rowOff>
    </xdr:from>
    <xdr:to>
      <xdr:col>13</xdr:col>
      <xdr:colOff>57150</xdr:colOff>
      <xdr:row>6</xdr:row>
      <xdr:rowOff>76200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707B9F1-5BAC-4676-B2A2-15D3A201676C}"/>
            </a:ext>
          </a:extLst>
        </xdr:cNvPr>
        <xdr:cNvSpPr/>
      </xdr:nvSpPr>
      <xdr:spPr>
        <a:xfrm>
          <a:off x="7496175" y="10572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6</xdr:row>
      <xdr:rowOff>228600</xdr:rowOff>
    </xdr:from>
    <xdr:to>
      <xdr:col>13</xdr:col>
      <xdr:colOff>57150</xdr:colOff>
      <xdr:row>8</xdr:row>
      <xdr:rowOff>19050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0B6A75F-7B80-41CE-A993-16178B50AB0D}"/>
            </a:ext>
          </a:extLst>
        </xdr:cNvPr>
        <xdr:cNvSpPr/>
      </xdr:nvSpPr>
      <xdr:spPr>
        <a:xfrm>
          <a:off x="7496175" y="14763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8</xdr:row>
      <xdr:rowOff>190500</xdr:rowOff>
    </xdr:from>
    <xdr:to>
      <xdr:col>13</xdr:col>
      <xdr:colOff>57150</xdr:colOff>
      <xdr:row>9</xdr:row>
      <xdr:rowOff>219075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181CC6D-05EA-44AB-A0B5-B983761EC355}"/>
            </a:ext>
          </a:extLst>
        </xdr:cNvPr>
        <xdr:cNvSpPr/>
      </xdr:nvSpPr>
      <xdr:spPr>
        <a:xfrm>
          <a:off x="7496175" y="191452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10</xdr:row>
      <xdr:rowOff>133350</xdr:rowOff>
    </xdr:from>
    <xdr:to>
      <xdr:col>13</xdr:col>
      <xdr:colOff>57150</xdr:colOff>
      <xdr:row>11</xdr:row>
      <xdr:rowOff>161925</xdr:rowOff>
    </xdr:to>
    <xdr:sp macro="" textlink="">
      <xdr:nvSpPr>
        <xdr:cNvPr id="7" name="Rectangle: Rounded Corner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6AE7ADF-4199-436D-839E-0BBE374C5961}"/>
            </a:ext>
          </a:extLst>
        </xdr:cNvPr>
        <xdr:cNvSpPr/>
      </xdr:nvSpPr>
      <xdr:spPr>
        <a:xfrm>
          <a:off x="7496175" y="23431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11</xdr:row>
      <xdr:rowOff>314325</xdr:rowOff>
    </xdr:from>
    <xdr:to>
      <xdr:col>13</xdr:col>
      <xdr:colOff>57150</xdr:colOff>
      <xdr:row>12</xdr:row>
      <xdr:rowOff>114300</xdr:rowOff>
    </xdr:to>
    <xdr:sp macro="" textlink="">
      <xdr:nvSpPr>
        <xdr:cNvPr id="8" name="Rectangle: Rounded Corner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53F9029-0F40-448C-9CCF-D76EB930B64E}"/>
            </a:ext>
          </a:extLst>
        </xdr:cNvPr>
        <xdr:cNvSpPr/>
      </xdr:nvSpPr>
      <xdr:spPr>
        <a:xfrm>
          <a:off x="7496175" y="27622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28575</xdr:colOff>
      <xdr:row>12</xdr:row>
      <xdr:rowOff>266700</xdr:rowOff>
    </xdr:from>
    <xdr:to>
      <xdr:col>13</xdr:col>
      <xdr:colOff>66675</xdr:colOff>
      <xdr:row>13</xdr:row>
      <xdr:rowOff>0</xdr:rowOff>
    </xdr:to>
    <xdr:sp macro="" textlink="">
      <xdr:nvSpPr>
        <xdr:cNvPr id="9" name="Rectangle: Rounded Corner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4D6E6A-46B7-4964-965D-47E618F401BA}"/>
            </a:ext>
          </a:extLst>
        </xdr:cNvPr>
        <xdr:cNvSpPr/>
      </xdr:nvSpPr>
      <xdr:spPr>
        <a:xfrm>
          <a:off x="7505700" y="3181350"/>
          <a:ext cx="1257300" cy="2000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200025</xdr:colOff>
      <xdr:row>1</xdr:row>
      <xdr:rowOff>9525</xdr:rowOff>
    </xdr:from>
    <xdr:to>
      <xdr:col>15</xdr:col>
      <xdr:colOff>238125</xdr:colOff>
      <xdr:row>2</xdr:row>
      <xdr:rowOff>85725</xdr:rowOff>
    </xdr:to>
    <xdr:sp macro="" textlink="">
      <xdr:nvSpPr>
        <xdr:cNvPr id="10" name="Rectangle: Rounded Corner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E3BC51A-9120-4461-8145-49F021024968}"/>
            </a:ext>
          </a:extLst>
        </xdr:cNvPr>
        <xdr:cNvSpPr/>
      </xdr:nvSpPr>
      <xdr:spPr>
        <a:xfrm>
          <a:off x="8896350" y="2000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209550</xdr:colOff>
      <xdr:row>3</xdr:row>
      <xdr:rowOff>95250</xdr:rowOff>
    </xdr:from>
    <xdr:to>
      <xdr:col>15</xdr:col>
      <xdr:colOff>247650</xdr:colOff>
      <xdr:row>4</xdr:row>
      <xdr:rowOff>142875</xdr:rowOff>
    </xdr:to>
    <xdr:sp macro="" textlink="">
      <xdr:nvSpPr>
        <xdr:cNvPr id="11" name="Rectangle: Rounded Corners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EFC62C7-A30A-4742-B3D0-E204475FBCE5}"/>
            </a:ext>
          </a:extLst>
        </xdr:cNvPr>
        <xdr:cNvSpPr/>
      </xdr:nvSpPr>
      <xdr:spPr>
        <a:xfrm>
          <a:off x="8905875" y="6667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5</xdr:row>
      <xdr:rowOff>57150</xdr:rowOff>
    </xdr:from>
    <xdr:to>
      <xdr:col>15</xdr:col>
      <xdr:colOff>257175</xdr:colOff>
      <xdr:row>6</xdr:row>
      <xdr:rowOff>85725</xdr:rowOff>
    </xdr:to>
    <xdr:sp macro="" textlink="">
      <xdr:nvSpPr>
        <xdr:cNvPr id="12" name="Rectangle: Rounded Corner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F05E2FE-9DC6-458D-8D14-9352035AB2A9}"/>
            </a:ext>
          </a:extLst>
        </xdr:cNvPr>
        <xdr:cNvSpPr/>
      </xdr:nvSpPr>
      <xdr:spPr>
        <a:xfrm>
          <a:off x="8915400" y="10668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7</xdr:row>
      <xdr:rowOff>0</xdr:rowOff>
    </xdr:from>
    <xdr:to>
      <xdr:col>15</xdr:col>
      <xdr:colOff>257175</xdr:colOff>
      <xdr:row>8</xdr:row>
      <xdr:rowOff>28575</xdr:rowOff>
    </xdr:to>
    <xdr:sp macro="" textlink="">
      <xdr:nvSpPr>
        <xdr:cNvPr id="13" name="Rectangle: Rounded Corner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AA4E3E6-FEF1-4D5E-B05C-7EB0B2D66031}"/>
            </a:ext>
          </a:extLst>
        </xdr:cNvPr>
        <xdr:cNvSpPr/>
      </xdr:nvSpPr>
      <xdr:spPr>
        <a:xfrm>
          <a:off x="8915400" y="14859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8</xdr:row>
      <xdr:rowOff>200025</xdr:rowOff>
    </xdr:from>
    <xdr:to>
      <xdr:col>15</xdr:col>
      <xdr:colOff>257175</xdr:colOff>
      <xdr:row>9</xdr:row>
      <xdr:rowOff>228600</xdr:rowOff>
    </xdr:to>
    <xdr:sp macro="" textlink="">
      <xdr:nvSpPr>
        <xdr:cNvPr id="14" name="Rectangle: Rounded Corner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309C543-8F57-4E98-8DC6-DAEAD7B11A68}"/>
            </a:ext>
          </a:extLst>
        </xdr:cNvPr>
        <xdr:cNvSpPr/>
      </xdr:nvSpPr>
      <xdr:spPr>
        <a:xfrm>
          <a:off x="8915400" y="1924050"/>
          <a:ext cx="1257300" cy="266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10</xdr:row>
      <xdr:rowOff>142875</xdr:rowOff>
    </xdr:from>
    <xdr:to>
      <xdr:col>15</xdr:col>
      <xdr:colOff>257175</xdr:colOff>
      <xdr:row>11</xdr:row>
      <xdr:rowOff>171450</xdr:rowOff>
    </xdr:to>
    <xdr:sp macro="" textlink="">
      <xdr:nvSpPr>
        <xdr:cNvPr id="15" name="Rectangle: Rounded Corner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CC40B62-ADB9-4C1F-81AA-C434574A00B8}"/>
            </a:ext>
          </a:extLst>
        </xdr:cNvPr>
        <xdr:cNvSpPr/>
      </xdr:nvSpPr>
      <xdr:spPr>
        <a:xfrm>
          <a:off x="8915400" y="23526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11</xdr:row>
      <xdr:rowOff>323850</xdr:rowOff>
    </xdr:from>
    <xdr:to>
      <xdr:col>15</xdr:col>
      <xdr:colOff>257175</xdr:colOff>
      <xdr:row>12</xdr:row>
      <xdr:rowOff>123825</xdr:rowOff>
    </xdr:to>
    <xdr:sp macro="" textlink="">
      <xdr:nvSpPr>
        <xdr:cNvPr id="16" name="Rectangle: Rounded Corner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CB79F2E-93AB-43F8-A9D0-45D9EE72AECB}"/>
            </a:ext>
          </a:extLst>
        </xdr:cNvPr>
        <xdr:cNvSpPr/>
      </xdr:nvSpPr>
      <xdr:spPr>
        <a:xfrm>
          <a:off x="8915400" y="27717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228600</xdr:colOff>
      <xdr:row>12</xdr:row>
      <xdr:rowOff>276225</xdr:rowOff>
    </xdr:from>
    <xdr:to>
      <xdr:col>15</xdr:col>
      <xdr:colOff>266700</xdr:colOff>
      <xdr:row>13</xdr:row>
      <xdr:rowOff>0</xdr:rowOff>
    </xdr:to>
    <xdr:sp macro="" textlink="">
      <xdr:nvSpPr>
        <xdr:cNvPr id="17" name="Rectangle: Rounded Corner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0BE1898-2D17-4B22-A0B1-7439C64B83D6}"/>
            </a:ext>
          </a:extLst>
        </xdr:cNvPr>
        <xdr:cNvSpPr/>
      </xdr:nvSpPr>
      <xdr:spPr>
        <a:xfrm>
          <a:off x="8924925" y="3190875"/>
          <a:ext cx="1257300" cy="1905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47625</xdr:colOff>
      <xdr:row>14</xdr:row>
      <xdr:rowOff>0</xdr:rowOff>
    </xdr:from>
    <xdr:to>
      <xdr:col>13</xdr:col>
      <xdr:colOff>85725</xdr:colOff>
      <xdr:row>14</xdr:row>
      <xdr:rowOff>247650</xdr:rowOff>
    </xdr:to>
    <xdr:sp macro="" textlink="">
      <xdr:nvSpPr>
        <xdr:cNvPr id="18" name="Rectangle: Rounded Corners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15C0EC5-9631-4DBD-8D5C-0BA92CB31CB1}"/>
            </a:ext>
          </a:extLst>
        </xdr:cNvPr>
        <xdr:cNvSpPr/>
      </xdr:nvSpPr>
      <xdr:spPr>
        <a:xfrm>
          <a:off x="7524750" y="3381375"/>
          <a:ext cx="12573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609600</xdr:colOff>
      <xdr:row>5</xdr:row>
      <xdr:rowOff>28575</xdr:rowOff>
    </xdr:from>
    <xdr:to>
      <xdr:col>8</xdr:col>
      <xdr:colOff>476250</xdr:colOff>
      <xdr:row>5</xdr:row>
      <xdr:rowOff>38100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53B6820D-BF32-4985-BE5B-8E89B7926867}"/>
            </a:ext>
          </a:extLst>
        </xdr:cNvPr>
        <xdr:cNvCxnSpPr/>
      </xdr:nvCxnSpPr>
      <xdr:spPr>
        <a:xfrm>
          <a:off x="3400425" y="1038225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0</xdr:row>
      <xdr:rowOff>0</xdr:rowOff>
    </xdr:from>
    <xdr:to>
      <xdr:col>10</xdr:col>
      <xdr:colOff>0</xdr:colOff>
      <xdr:row>3</xdr:row>
      <xdr:rowOff>38100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1D1CC315-D6E6-461F-9ED2-8D0AFCD1EF4C}"/>
            </a:ext>
          </a:extLst>
        </xdr:cNvPr>
        <xdr:cNvSpPr txBox="1">
          <a:spLocks noChangeArrowheads="1"/>
        </xdr:cNvSpPr>
      </xdr:nvSpPr>
      <xdr:spPr bwMode="auto">
        <a:xfrm>
          <a:off x="4933950" y="0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TG21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638175</xdr:colOff>
      <xdr:row>5</xdr:row>
      <xdr:rowOff>19050</xdr:rowOff>
    </xdr:from>
    <xdr:to>
      <xdr:col>3</xdr:col>
      <xdr:colOff>28575</xdr:colOff>
      <xdr:row>5</xdr:row>
      <xdr:rowOff>19050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2E88225A-054B-40DA-A7A3-69FE9959805E}"/>
            </a:ext>
          </a:extLst>
        </xdr:cNvPr>
        <xdr:cNvCxnSpPr/>
      </xdr:nvCxnSpPr>
      <xdr:spPr>
        <a:xfrm>
          <a:off x="638175" y="1028700"/>
          <a:ext cx="819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742950</xdr:colOff>
      <xdr:row>28</xdr:row>
      <xdr:rowOff>85725</xdr:rowOff>
    </xdr:from>
    <xdr:to>
      <xdr:col>9</xdr:col>
      <xdr:colOff>561685</xdr:colOff>
      <xdr:row>33</xdr:row>
      <xdr:rowOff>0</xdr:rowOff>
    </xdr:to>
    <xdr:pic>
      <xdr:nvPicPr>
        <xdr:cNvPr id="22" name="Picture 21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7353300"/>
          <a:ext cx="2076160" cy="94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13</xdr:col>
      <xdr:colOff>38100</xdr:colOff>
      <xdr:row>2</xdr:row>
      <xdr:rowOff>76200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C61B1B4-E320-46B8-AA76-E640EABDEBB3}"/>
            </a:ext>
          </a:extLst>
        </xdr:cNvPr>
        <xdr:cNvSpPr/>
      </xdr:nvSpPr>
      <xdr:spPr>
        <a:xfrm>
          <a:off x="7477125" y="19050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9525</xdr:colOff>
      <xdr:row>3</xdr:row>
      <xdr:rowOff>85725</xdr:rowOff>
    </xdr:from>
    <xdr:to>
      <xdr:col>13</xdr:col>
      <xdr:colOff>47625</xdr:colOff>
      <xdr:row>4</xdr:row>
      <xdr:rowOff>133350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6D3BB5-EB37-4A69-BA6D-82C5D5762C37}"/>
            </a:ext>
          </a:extLst>
        </xdr:cNvPr>
        <xdr:cNvSpPr/>
      </xdr:nvSpPr>
      <xdr:spPr>
        <a:xfrm>
          <a:off x="7486650" y="6572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5</xdr:row>
      <xdr:rowOff>47625</xdr:rowOff>
    </xdr:from>
    <xdr:to>
      <xdr:col>13</xdr:col>
      <xdr:colOff>57150</xdr:colOff>
      <xdr:row>6</xdr:row>
      <xdr:rowOff>76200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707B9F1-5BAC-4676-B2A2-15D3A201676C}"/>
            </a:ext>
          </a:extLst>
        </xdr:cNvPr>
        <xdr:cNvSpPr/>
      </xdr:nvSpPr>
      <xdr:spPr>
        <a:xfrm>
          <a:off x="7496175" y="10572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6</xdr:row>
      <xdr:rowOff>228600</xdr:rowOff>
    </xdr:from>
    <xdr:to>
      <xdr:col>13</xdr:col>
      <xdr:colOff>57150</xdr:colOff>
      <xdr:row>8</xdr:row>
      <xdr:rowOff>19050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0B6A75F-7B80-41CE-A993-16178B50AB0D}"/>
            </a:ext>
          </a:extLst>
        </xdr:cNvPr>
        <xdr:cNvSpPr/>
      </xdr:nvSpPr>
      <xdr:spPr>
        <a:xfrm>
          <a:off x="7496175" y="14763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8</xdr:row>
      <xdr:rowOff>190500</xdr:rowOff>
    </xdr:from>
    <xdr:to>
      <xdr:col>13</xdr:col>
      <xdr:colOff>57150</xdr:colOff>
      <xdr:row>9</xdr:row>
      <xdr:rowOff>219075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181CC6D-05EA-44AB-A0B5-B983761EC355}"/>
            </a:ext>
          </a:extLst>
        </xdr:cNvPr>
        <xdr:cNvSpPr/>
      </xdr:nvSpPr>
      <xdr:spPr>
        <a:xfrm>
          <a:off x="7496175" y="191452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10</xdr:row>
      <xdr:rowOff>133350</xdr:rowOff>
    </xdr:from>
    <xdr:to>
      <xdr:col>13</xdr:col>
      <xdr:colOff>57150</xdr:colOff>
      <xdr:row>11</xdr:row>
      <xdr:rowOff>161925</xdr:rowOff>
    </xdr:to>
    <xdr:sp macro="" textlink="">
      <xdr:nvSpPr>
        <xdr:cNvPr id="7" name="Rectangle: Rounded Corner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6AE7ADF-4199-436D-839E-0BBE374C5961}"/>
            </a:ext>
          </a:extLst>
        </xdr:cNvPr>
        <xdr:cNvSpPr/>
      </xdr:nvSpPr>
      <xdr:spPr>
        <a:xfrm>
          <a:off x="7496175" y="23431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11</xdr:row>
      <xdr:rowOff>314325</xdr:rowOff>
    </xdr:from>
    <xdr:to>
      <xdr:col>13</xdr:col>
      <xdr:colOff>57150</xdr:colOff>
      <xdr:row>12</xdr:row>
      <xdr:rowOff>114300</xdr:rowOff>
    </xdr:to>
    <xdr:sp macro="" textlink="">
      <xdr:nvSpPr>
        <xdr:cNvPr id="8" name="Rectangle: Rounded Corner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53F9029-0F40-448C-9CCF-D76EB930B64E}"/>
            </a:ext>
          </a:extLst>
        </xdr:cNvPr>
        <xdr:cNvSpPr/>
      </xdr:nvSpPr>
      <xdr:spPr>
        <a:xfrm>
          <a:off x="7496175" y="27622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28575</xdr:colOff>
      <xdr:row>12</xdr:row>
      <xdr:rowOff>266700</xdr:rowOff>
    </xdr:from>
    <xdr:to>
      <xdr:col>13</xdr:col>
      <xdr:colOff>66675</xdr:colOff>
      <xdr:row>13</xdr:row>
      <xdr:rowOff>0</xdr:rowOff>
    </xdr:to>
    <xdr:sp macro="" textlink="">
      <xdr:nvSpPr>
        <xdr:cNvPr id="9" name="Rectangle: Rounded Corner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4D6E6A-46B7-4964-965D-47E618F401BA}"/>
            </a:ext>
          </a:extLst>
        </xdr:cNvPr>
        <xdr:cNvSpPr/>
      </xdr:nvSpPr>
      <xdr:spPr>
        <a:xfrm>
          <a:off x="7505700" y="3181350"/>
          <a:ext cx="1257300" cy="2000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200025</xdr:colOff>
      <xdr:row>1</xdr:row>
      <xdr:rowOff>9525</xdr:rowOff>
    </xdr:from>
    <xdr:to>
      <xdr:col>15</xdr:col>
      <xdr:colOff>238125</xdr:colOff>
      <xdr:row>2</xdr:row>
      <xdr:rowOff>85725</xdr:rowOff>
    </xdr:to>
    <xdr:sp macro="" textlink="">
      <xdr:nvSpPr>
        <xdr:cNvPr id="10" name="Rectangle: Rounded Corner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E3BC51A-9120-4461-8145-49F021024968}"/>
            </a:ext>
          </a:extLst>
        </xdr:cNvPr>
        <xdr:cNvSpPr/>
      </xdr:nvSpPr>
      <xdr:spPr>
        <a:xfrm>
          <a:off x="8896350" y="2000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209550</xdr:colOff>
      <xdr:row>3</xdr:row>
      <xdr:rowOff>95250</xdr:rowOff>
    </xdr:from>
    <xdr:to>
      <xdr:col>15</xdr:col>
      <xdr:colOff>247650</xdr:colOff>
      <xdr:row>4</xdr:row>
      <xdr:rowOff>142875</xdr:rowOff>
    </xdr:to>
    <xdr:sp macro="" textlink="">
      <xdr:nvSpPr>
        <xdr:cNvPr id="11" name="Rectangle: Rounded Corners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EFC62C7-A30A-4742-B3D0-E204475FBCE5}"/>
            </a:ext>
          </a:extLst>
        </xdr:cNvPr>
        <xdr:cNvSpPr/>
      </xdr:nvSpPr>
      <xdr:spPr>
        <a:xfrm>
          <a:off x="8905875" y="6667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5</xdr:row>
      <xdr:rowOff>57150</xdr:rowOff>
    </xdr:from>
    <xdr:to>
      <xdr:col>15</xdr:col>
      <xdr:colOff>257175</xdr:colOff>
      <xdr:row>6</xdr:row>
      <xdr:rowOff>85725</xdr:rowOff>
    </xdr:to>
    <xdr:sp macro="" textlink="">
      <xdr:nvSpPr>
        <xdr:cNvPr id="12" name="Rectangle: Rounded Corner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F05E2FE-9DC6-458D-8D14-9352035AB2A9}"/>
            </a:ext>
          </a:extLst>
        </xdr:cNvPr>
        <xdr:cNvSpPr/>
      </xdr:nvSpPr>
      <xdr:spPr>
        <a:xfrm>
          <a:off x="8915400" y="10668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7</xdr:row>
      <xdr:rowOff>0</xdr:rowOff>
    </xdr:from>
    <xdr:to>
      <xdr:col>15</xdr:col>
      <xdr:colOff>257175</xdr:colOff>
      <xdr:row>8</xdr:row>
      <xdr:rowOff>28575</xdr:rowOff>
    </xdr:to>
    <xdr:sp macro="" textlink="">
      <xdr:nvSpPr>
        <xdr:cNvPr id="13" name="Rectangle: Rounded Corner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AA4E3E6-FEF1-4D5E-B05C-7EB0B2D66031}"/>
            </a:ext>
          </a:extLst>
        </xdr:cNvPr>
        <xdr:cNvSpPr/>
      </xdr:nvSpPr>
      <xdr:spPr>
        <a:xfrm>
          <a:off x="8915400" y="14859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8</xdr:row>
      <xdr:rowOff>200025</xdr:rowOff>
    </xdr:from>
    <xdr:to>
      <xdr:col>15</xdr:col>
      <xdr:colOff>257175</xdr:colOff>
      <xdr:row>9</xdr:row>
      <xdr:rowOff>228600</xdr:rowOff>
    </xdr:to>
    <xdr:sp macro="" textlink="">
      <xdr:nvSpPr>
        <xdr:cNvPr id="14" name="Rectangle: Rounded Corner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309C543-8F57-4E98-8DC6-DAEAD7B11A68}"/>
            </a:ext>
          </a:extLst>
        </xdr:cNvPr>
        <xdr:cNvSpPr/>
      </xdr:nvSpPr>
      <xdr:spPr>
        <a:xfrm>
          <a:off x="8915400" y="1924050"/>
          <a:ext cx="1257300" cy="266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10</xdr:row>
      <xdr:rowOff>142875</xdr:rowOff>
    </xdr:from>
    <xdr:to>
      <xdr:col>15</xdr:col>
      <xdr:colOff>257175</xdr:colOff>
      <xdr:row>11</xdr:row>
      <xdr:rowOff>171450</xdr:rowOff>
    </xdr:to>
    <xdr:sp macro="" textlink="">
      <xdr:nvSpPr>
        <xdr:cNvPr id="15" name="Rectangle: Rounded Corner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CC40B62-ADB9-4C1F-81AA-C434574A00B8}"/>
            </a:ext>
          </a:extLst>
        </xdr:cNvPr>
        <xdr:cNvSpPr/>
      </xdr:nvSpPr>
      <xdr:spPr>
        <a:xfrm>
          <a:off x="8915400" y="23526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11</xdr:row>
      <xdr:rowOff>323850</xdr:rowOff>
    </xdr:from>
    <xdr:to>
      <xdr:col>15</xdr:col>
      <xdr:colOff>257175</xdr:colOff>
      <xdr:row>12</xdr:row>
      <xdr:rowOff>123825</xdr:rowOff>
    </xdr:to>
    <xdr:sp macro="" textlink="">
      <xdr:nvSpPr>
        <xdr:cNvPr id="16" name="Rectangle: Rounded Corner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CB79F2E-93AB-43F8-A9D0-45D9EE72AECB}"/>
            </a:ext>
          </a:extLst>
        </xdr:cNvPr>
        <xdr:cNvSpPr/>
      </xdr:nvSpPr>
      <xdr:spPr>
        <a:xfrm>
          <a:off x="8915400" y="27717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228600</xdr:colOff>
      <xdr:row>12</xdr:row>
      <xdr:rowOff>276225</xdr:rowOff>
    </xdr:from>
    <xdr:to>
      <xdr:col>15</xdr:col>
      <xdr:colOff>266700</xdr:colOff>
      <xdr:row>13</xdr:row>
      <xdr:rowOff>0</xdr:rowOff>
    </xdr:to>
    <xdr:sp macro="" textlink="">
      <xdr:nvSpPr>
        <xdr:cNvPr id="17" name="Rectangle: Rounded Corner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0BE1898-2D17-4B22-A0B1-7439C64B83D6}"/>
            </a:ext>
          </a:extLst>
        </xdr:cNvPr>
        <xdr:cNvSpPr/>
      </xdr:nvSpPr>
      <xdr:spPr>
        <a:xfrm>
          <a:off x="8924925" y="3190875"/>
          <a:ext cx="1257300" cy="1905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47625</xdr:colOff>
      <xdr:row>14</xdr:row>
      <xdr:rowOff>0</xdr:rowOff>
    </xdr:from>
    <xdr:to>
      <xdr:col>13</xdr:col>
      <xdr:colOff>85725</xdr:colOff>
      <xdr:row>14</xdr:row>
      <xdr:rowOff>247650</xdr:rowOff>
    </xdr:to>
    <xdr:sp macro="" textlink="">
      <xdr:nvSpPr>
        <xdr:cNvPr id="18" name="Rectangle: Rounded Corners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15C0EC5-9631-4DBD-8D5C-0BA92CB31CB1}"/>
            </a:ext>
          </a:extLst>
        </xdr:cNvPr>
        <xdr:cNvSpPr/>
      </xdr:nvSpPr>
      <xdr:spPr>
        <a:xfrm>
          <a:off x="7524750" y="3609975"/>
          <a:ext cx="12573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609600</xdr:colOff>
      <xdr:row>5</xdr:row>
      <xdr:rowOff>28575</xdr:rowOff>
    </xdr:from>
    <xdr:to>
      <xdr:col>8</xdr:col>
      <xdr:colOff>476250</xdr:colOff>
      <xdr:row>5</xdr:row>
      <xdr:rowOff>38100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53B6820D-BF32-4985-BE5B-8E89B7926867}"/>
            </a:ext>
          </a:extLst>
        </xdr:cNvPr>
        <xdr:cNvCxnSpPr/>
      </xdr:nvCxnSpPr>
      <xdr:spPr>
        <a:xfrm>
          <a:off x="3400425" y="1038225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0</xdr:row>
      <xdr:rowOff>0</xdr:rowOff>
    </xdr:from>
    <xdr:to>
      <xdr:col>10</xdr:col>
      <xdr:colOff>0</xdr:colOff>
      <xdr:row>3</xdr:row>
      <xdr:rowOff>38100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1D1CC315-D6E6-461F-9ED2-8D0AFCD1EF4C}"/>
            </a:ext>
          </a:extLst>
        </xdr:cNvPr>
        <xdr:cNvSpPr txBox="1">
          <a:spLocks noChangeArrowheads="1"/>
        </xdr:cNvSpPr>
      </xdr:nvSpPr>
      <xdr:spPr bwMode="auto">
        <a:xfrm>
          <a:off x="4933950" y="0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TG21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638175</xdr:colOff>
      <xdr:row>5</xdr:row>
      <xdr:rowOff>19050</xdr:rowOff>
    </xdr:from>
    <xdr:to>
      <xdr:col>3</xdr:col>
      <xdr:colOff>28575</xdr:colOff>
      <xdr:row>5</xdr:row>
      <xdr:rowOff>19050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2E88225A-054B-40DA-A7A3-69FE9959805E}"/>
            </a:ext>
          </a:extLst>
        </xdr:cNvPr>
        <xdr:cNvCxnSpPr/>
      </xdr:nvCxnSpPr>
      <xdr:spPr>
        <a:xfrm>
          <a:off x="638175" y="1028700"/>
          <a:ext cx="819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742950</xdr:colOff>
      <xdr:row>28</xdr:row>
      <xdr:rowOff>85725</xdr:rowOff>
    </xdr:from>
    <xdr:to>
      <xdr:col>9</xdr:col>
      <xdr:colOff>561685</xdr:colOff>
      <xdr:row>33</xdr:row>
      <xdr:rowOff>0</xdr:rowOff>
    </xdr:to>
    <xdr:pic>
      <xdr:nvPicPr>
        <xdr:cNvPr id="22" name="Picture 21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8305800"/>
          <a:ext cx="2076160" cy="94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13</xdr:col>
      <xdr:colOff>38100</xdr:colOff>
      <xdr:row>2</xdr:row>
      <xdr:rowOff>76200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C61B1B4-E320-46B8-AA76-E640EABDEBB3}"/>
            </a:ext>
          </a:extLst>
        </xdr:cNvPr>
        <xdr:cNvSpPr/>
      </xdr:nvSpPr>
      <xdr:spPr>
        <a:xfrm>
          <a:off x="7477125" y="19050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9525</xdr:colOff>
      <xdr:row>3</xdr:row>
      <xdr:rowOff>85725</xdr:rowOff>
    </xdr:from>
    <xdr:to>
      <xdr:col>13</xdr:col>
      <xdr:colOff>47625</xdr:colOff>
      <xdr:row>4</xdr:row>
      <xdr:rowOff>133350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6D3BB5-EB37-4A69-BA6D-82C5D5762C37}"/>
            </a:ext>
          </a:extLst>
        </xdr:cNvPr>
        <xdr:cNvSpPr/>
      </xdr:nvSpPr>
      <xdr:spPr>
        <a:xfrm>
          <a:off x="7486650" y="6572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5</xdr:row>
      <xdr:rowOff>47625</xdr:rowOff>
    </xdr:from>
    <xdr:to>
      <xdr:col>13</xdr:col>
      <xdr:colOff>57150</xdr:colOff>
      <xdr:row>6</xdr:row>
      <xdr:rowOff>76200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707B9F1-5BAC-4676-B2A2-15D3A201676C}"/>
            </a:ext>
          </a:extLst>
        </xdr:cNvPr>
        <xdr:cNvSpPr/>
      </xdr:nvSpPr>
      <xdr:spPr>
        <a:xfrm>
          <a:off x="7496175" y="10572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6</xdr:row>
      <xdr:rowOff>228600</xdr:rowOff>
    </xdr:from>
    <xdr:to>
      <xdr:col>13</xdr:col>
      <xdr:colOff>57150</xdr:colOff>
      <xdr:row>8</xdr:row>
      <xdr:rowOff>19050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0B6A75F-7B80-41CE-A993-16178B50AB0D}"/>
            </a:ext>
          </a:extLst>
        </xdr:cNvPr>
        <xdr:cNvSpPr/>
      </xdr:nvSpPr>
      <xdr:spPr>
        <a:xfrm>
          <a:off x="7496175" y="14763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8</xdr:row>
      <xdr:rowOff>190500</xdr:rowOff>
    </xdr:from>
    <xdr:to>
      <xdr:col>13</xdr:col>
      <xdr:colOff>57150</xdr:colOff>
      <xdr:row>9</xdr:row>
      <xdr:rowOff>219075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181CC6D-05EA-44AB-A0B5-B983761EC355}"/>
            </a:ext>
          </a:extLst>
        </xdr:cNvPr>
        <xdr:cNvSpPr/>
      </xdr:nvSpPr>
      <xdr:spPr>
        <a:xfrm>
          <a:off x="7496175" y="191452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10</xdr:row>
      <xdr:rowOff>133350</xdr:rowOff>
    </xdr:from>
    <xdr:to>
      <xdr:col>13</xdr:col>
      <xdr:colOff>57150</xdr:colOff>
      <xdr:row>11</xdr:row>
      <xdr:rowOff>161925</xdr:rowOff>
    </xdr:to>
    <xdr:sp macro="" textlink="">
      <xdr:nvSpPr>
        <xdr:cNvPr id="7" name="Rectangle: Rounded Corner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6AE7ADF-4199-436D-839E-0BBE374C5961}"/>
            </a:ext>
          </a:extLst>
        </xdr:cNvPr>
        <xdr:cNvSpPr/>
      </xdr:nvSpPr>
      <xdr:spPr>
        <a:xfrm>
          <a:off x="7496175" y="23431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11</xdr:row>
      <xdr:rowOff>314325</xdr:rowOff>
    </xdr:from>
    <xdr:to>
      <xdr:col>13</xdr:col>
      <xdr:colOff>57150</xdr:colOff>
      <xdr:row>12</xdr:row>
      <xdr:rowOff>114300</xdr:rowOff>
    </xdr:to>
    <xdr:sp macro="" textlink="">
      <xdr:nvSpPr>
        <xdr:cNvPr id="8" name="Rectangle: Rounded Corner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53F9029-0F40-448C-9CCF-D76EB930B64E}"/>
            </a:ext>
          </a:extLst>
        </xdr:cNvPr>
        <xdr:cNvSpPr/>
      </xdr:nvSpPr>
      <xdr:spPr>
        <a:xfrm>
          <a:off x="7496175" y="27622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28575</xdr:colOff>
      <xdr:row>12</xdr:row>
      <xdr:rowOff>266700</xdr:rowOff>
    </xdr:from>
    <xdr:to>
      <xdr:col>13</xdr:col>
      <xdr:colOff>66675</xdr:colOff>
      <xdr:row>13</xdr:row>
      <xdr:rowOff>0</xdr:rowOff>
    </xdr:to>
    <xdr:sp macro="" textlink="">
      <xdr:nvSpPr>
        <xdr:cNvPr id="9" name="Rectangle: Rounded Corner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4D6E6A-46B7-4964-965D-47E618F401BA}"/>
            </a:ext>
          </a:extLst>
        </xdr:cNvPr>
        <xdr:cNvSpPr/>
      </xdr:nvSpPr>
      <xdr:spPr>
        <a:xfrm>
          <a:off x="7505700" y="3181350"/>
          <a:ext cx="1257300" cy="2000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200025</xdr:colOff>
      <xdr:row>1</xdr:row>
      <xdr:rowOff>9525</xdr:rowOff>
    </xdr:from>
    <xdr:to>
      <xdr:col>15</xdr:col>
      <xdr:colOff>238125</xdr:colOff>
      <xdr:row>2</xdr:row>
      <xdr:rowOff>85725</xdr:rowOff>
    </xdr:to>
    <xdr:sp macro="" textlink="">
      <xdr:nvSpPr>
        <xdr:cNvPr id="10" name="Rectangle: Rounded Corner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E3BC51A-9120-4461-8145-49F021024968}"/>
            </a:ext>
          </a:extLst>
        </xdr:cNvPr>
        <xdr:cNvSpPr/>
      </xdr:nvSpPr>
      <xdr:spPr>
        <a:xfrm>
          <a:off x="8896350" y="2000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209550</xdr:colOff>
      <xdr:row>3</xdr:row>
      <xdr:rowOff>95250</xdr:rowOff>
    </xdr:from>
    <xdr:to>
      <xdr:col>15</xdr:col>
      <xdr:colOff>247650</xdr:colOff>
      <xdr:row>4</xdr:row>
      <xdr:rowOff>142875</xdr:rowOff>
    </xdr:to>
    <xdr:sp macro="" textlink="">
      <xdr:nvSpPr>
        <xdr:cNvPr id="11" name="Rectangle: Rounded Corners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EFC62C7-A30A-4742-B3D0-E204475FBCE5}"/>
            </a:ext>
          </a:extLst>
        </xdr:cNvPr>
        <xdr:cNvSpPr/>
      </xdr:nvSpPr>
      <xdr:spPr>
        <a:xfrm>
          <a:off x="8905875" y="6667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5</xdr:row>
      <xdr:rowOff>57150</xdr:rowOff>
    </xdr:from>
    <xdr:to>
      <xdr:col>15</xdr:col>
      <xdr:colOff>257175</xdr:colOff>
      <xdr:row>6</xdr:row>
      <xdr:rowOff>85725</xdr:rowOff>
    </xdr:to>
    <xdr:sp macro="" textlink="">
      <xdr:nvSpPr>
        <xdr:cNvPr id="12" name="Rectangle: Rounded Corner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F05E2FE-9DC6-458D-8D14-9352035AB2A9}"/>
            </a:ext>
          </a:extLst>
        </xdr:cNvPr>
        <xdr:cNvSpPr/>
      </xdr:nvSpPr>
      <xdr:spPr>
        <a:xfrm>
          <a:off x="8915400" y="10668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7</xdr:row>
      <xdr:rowOff>0</xdr:rowOff>
    </xdr:from>
    <xdr:to>
      <xdr:col>15</xdr:col>
      <xdr:colOff>257175</xdr:colOff>
      <xdr:row>8</xdr:row>
      <xdr:rowOff>28575</xdr:rowOff>
    </xdr:to>
    <xdr:sp macro="" textlink="">
      <xdr:nvSpPr>
        <xdr:cNvPr id="13" name="Rectangle: Rounded Corner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AA4E3E6-FEF1-4D5E-B05C-7EB0B2D66031}"/>
            </a:ext>
          </a:extLst>
        </xdr:cNvPr>
        <xdr:cNvSpPr/>
      </xdr:nvSpPr>
      <xdr:spPr>
        <a:xfrm>
          <a:off x="8915400" y="14859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8</xdr:row>
      <xdr:rowOff>200025</xdr:rowOff>
    </xdr:from>
    <xdr:to>
      <xdr:col>15</xdr:col>
      <xdr:colOff>257175</xdr:colOff>
      <xdr:row>9</xdr:row>
      <xdr:rowOff>228600</xdr:rowOff>
    </xdr:to>
    <xdr:sp macro="" textlink="">
      <xdr:nvSpPr>
        <xdr:cNvPr id="14" name="Rectangle: Rounded Corner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309C543-8F57-4E98-8DC6-DAEAD7B11A68}"/>
            </a:ext>
          </a:extLst>
        </xdr:cNvPr>
        <xdr:cNvSpPr/>
      </xdr:nvSpPr>
      <xdr:spPr>
        <a:xfrm>
          <a:off x="8915400" y="1924050"/>
          <a:ext cx="1257300" cy="266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10</xdr:row>
      <xdr:rowOff>142875</xdr:rowOff>
    </xdr:from>
    <xdr:to>
      <xdr:col>15</xdr:col>
      <xdr:colOff>257175</xdr:colOff>
      <xdr:row>11</xdr:row>
      <xdr:rowOff>171450</xdr:rowOff>
    </xdr:to>
    <xdr:sp macro="" textlink="">
      <xdr:nvSpPr>
        <xdr:cNvPr id="15" name="Rectangle: Rounded Corner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CC40B62-ADB9-4C1F-81AA-C434574A00B8}"/>
            </a:ext>
          </a:extLst>
        </xdr:cNvPr>
        <xdr:cNvSpPr/>
      </xdr:nvSpPr>
      <xdr:spPr>
        <a:xfrm>
          <a:off x="8915400" y="23526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11</xdr:row>
      <xdr:rowOff>323850</xdr:rowOff>
    </xdr:from>
    <xdr:to>
      <xdr:col>15</xdr:col>
      <xdr:colOff>257175</xdr:colOff>
      <xdr:row>12</xdr:row>
      <xdr:rowOff>123825</xdr:rowOff>
    </xdr:to>
    <xdr:sp macro="" textlink="">
      <xdr:nvSpPr>
        <xdr:cNvPr id="16" name="Rectangle: Rounded Corner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CB79F2E-93AB-43F8-A9D0-45D9EE72AECB}"/>
            </a:ext>
          </a:extLst>
        </xdr:cNvPr>
        <xdr:cNvSpPr/>
      </xdr:nvSpPr>
      <xdr:spPr>
        <a:xfrm>
          <a:off x="8915400" y="27717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228600</xdr:colOff>
      <xdr:row>12</xdr:row>
      <xdr:rowOff>276225</xdr:rowOff>
    </xdr:from>
    <xdr:to>
      <xdr:col>15</xdr:col>
      <xdr:colOff>266700</xdr:colOff>
      <xdr:row>13</xdr:row>
      <xdr:rowOff>0</xdr:rowOff>
    </xdr:to>
    <xdr:sp macro="" textlink="">
      <xdr:nvSpPr>
        <xdr:cNvPr id="17" name="Rectangle: Rounded Corner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0BE1898-2D17-4B22-A0B1-7439C64B83D6}"/>
            </a:ext>
          </a:extLst>
        </xdr:cNvPr>
        <xdr:cNvSpPr/>
      </xdr:nvSpPr>
      <xdr:spPr>
        <a:xfrm>
          <a:off x="8924925" y="3190875"/>
          <a:ext cx="1257300" cy="1905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47625</xdr:colOff>
      <xdr:row>13</xdr:row>
      <xdr:rowOff>0</xdr:rowOff>
    </xdr:from>
    <xdr:to>
      <xdr:col>13</xdr:col>
      <xdr:colOff>85725</xdr:colOff>
      <xdr:row>13</xdr:row>
      <xdr:rowOff>247650</xdr:rowOff>
    </xdr:to>
    <xdr:sp macro="" textlink="">
      <xdr:nvSpPr>
        <xdr:cNvPr id="18" name="Rectangle: Rounded Corners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15C0EC5-9631-4DBD-8D5C-0BA92CB31CB1}"/>
            </a:ext>
          </a:extLst>
        </xdr:cNvPr>
        <xdr:cNvSpPr/>
      </xdr:nvSpPr>
      <xdr:spPr>
        <a:xfrm>
          <a:off x="7524750" y="3381375"/>
          <a:ext cx="12573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609600</xdr:colOff>
      <xdr:row>5</xdr:row>
      <xdr:rowOff>28575</xdr:rowOff>
    </xdr:from>
    <xdr:to>
      <xdr:col>8</xdr:col>
      <xdr:colOff>476250</xdr:colOff>
      <xdr:row>5</xdr:row>
      <xdr:rowOff>38100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53B6820D-BF32-4985-BE5B-8E89B7926867}"/>
            </a:ext>
          </a:extLst>
        </xdr:cNvPr>
        <xdr:cNvCxnSpPr/>
      </xdr:nvCxnSpPr>
      <xdr:spPr>
        <a:xfrm>
          <a:off x="3400425" y="1038225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0</xdr:row>
      <xdr:rowOff>0</xdr:rowOff>
    </xdr:from>
    <xdr:to>
      <xdr:col>10</xdr:col>
      <xdr:colOff>0</xdr:colOff>
      <xdr:row>3</xdr:row>
      <xdr:rowOff>38100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1D1CC315-D6E6-461F-9ED2-8D0AFCD1EF4C}"/>
            </a:ext>
          </a:extLst>
        </xdr:cNvPr>
        <xdr:cNvSpPr txBox="1">
          <a:spLocks noChangeArrowheads="1"/>
        </xdr:cNvSpPr>
      </xdr:nvSpPr>
      <xdr:spPr bwMode="auto">
        <a:xfrm>
          <a:off x="4933950" y="0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TG21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638175</xdr:colOff>
      <xdr:row>5</xdr:row>
      <xdr:rowOff>19050</xdr:rowOff>
    </xdr:from>
    <xdr:to>
      <xdr:col>3</xdr:col>
      <xdr:colOff>28575</xdr:colOff>
      <xdr:row>5</xdr:row>
      <xdr:rowOff>19050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2E88225A-054B-40DA-A7A3-69FE9959805E}"/>
            </a:ext>
          </a:extLst>
        </xdr:cNvPr>
        <xdr:cNvCxnSpPr/>
      </xdr:nvCxnSpPr>
      <xdr:spPr>
        <a:xfrm>
          <a:off x="638175" y="1028700"/>
          <a:ext cx="819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742950</xdr:colOff>
      <xdr:row>26</xdr:row>
      <xdr:rowOff>85725</xdr:rowOff>
    </xdr:from>
    <xdr:to>
      <xdr:col>9</xdr:col>
      <xdr:colOff>561685</xdr:colOff>
      <xdr:row>31</xdr:row>
      <xdr:rowOff>0</xdr:rowOff>
    </xdr:to>
    <xdr:pic>
      <xdr:nvPicPr>
        <xdr:cNvPr id="22" name="Picture 21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7553325"/>
          <a:ext cx="2076160" cy="94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/Doan%20Tien%20Gioi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heo doi CPM"/>
      <sheetName val="ĐK"/>
      <sheetName val="Bia"/>
      <sheetName val="B3.TKHS"/>
      <sheetName val="TTCHUNG"/>
      <sheetName val="a2"/>
      <sheetName val="a3"/>
      <sheetName val="Tom"/>
      <sheetName val="B1.LAPHS-GS"/>
      <sheetName val="B1.2.Kthuc GS"/>
      <sheetName val="B1.LAPHS-GP"/>
      <sheetName val="B1.2.Kthuc GP"/>
      <sheetName val="BanDinh"/>
      <sheetName val="TG31"/>
      <sheetName val="K.TRA"/>
      <sheetName val="1.TG4.SK"/>
      <sheetName val="2.TG1.GNhan"/>
      <sheetName val="3.TG5.PhBien"/>
      <sheetName val="ĐxBTGGiu"/>
      <sheetName val="ĐxBTGGiam"/>
      <sheetName val="ĐxBTGGiamTHA"/>
      <sheetName val="4.TG6.GG1"/>
      <sheetName val="TG6.GG2"/>
      <sheetName val="TG6.GG2THA"/>
      <sheetName val="TB Tgiu"/>
      <sheetName val="TB GHTgiu"/>
      <sheetName val="TB Tgiam"/>
      <sheetName val="TB Tgiam (2)"/>
      <sheetName val="TB TgiamTAND"/>
      <sheetName val="PC22-TGIU"/>
      <sheetName val="PC22-TGIAM"/>
      <sheetName val="TG19.LTX"/>
      <sheetName val="5.NX1"/>
      <sheetName val="5.NX2"/>
      <sheetName val="TONGDAT"/>
      <sheetName val="TG20.DC"/>
      <sheetName val="B9. BGHS"/>
      <sheetName val="GN(CAT)"/>
      <sheetName val="GG(CAT)"/>
    </sheetNames>
    <sheetDataSet>
      <sheetData sheetId="0"/>
      <sheetData sheetId="1"/>
      <sheetData sheetId="2"/>
      <sheetData sheetId="3"/>
      <sheetData sheetId="4">
        <row r="7">
          <cell r="C7" t="str">
            <v>ĐOÀN TIẾN GIỎI</v>
          </cell>
        </row>
        <row r="8">
          <cell r="C8" t="str">
            <v>Không</v>
          </cell>
        </row>
        <row r="10">
          <cell r="C10" t="str">
            <v>Vĩnh Bảo, Hải Phòng.</v>
          </cell>
        </row>
        <row r="12">
          <cell r="E12" t="str">
            <v>Việt Nam.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6"/>
  <sheetViews>
    <sheetView zoomScaleNormal="100" workbookViewId="0">
      <selection activeCell="L6" sqref="L6"/>
    </sheetView>
  </sheetViews>
  <sheetFormatPr defaultRowHeight="18.75" x14ac:dyDescent="0.3"/>
  <cols>
    <col min="1" max="1" width="4.5703125" style="1" customWidth="1"/>
    <col min="2" max="2" width="25.140625" style="1" customWidth="1"/>
    <col min="3" max="3" width="7.42578125" style="1" customWidth="1"/>
    <col min="4" max="7" width="14.7109375" style="1" customWidth="1"/>
    <col min="8" max="16384" width="9.140625" style="1"/>
  </cols>
  <sheetData>
    <row r="1" spans="1:7" ht="20.25" x14ac:dyDescent="0.3">
      <c r="A1" s="148" t="s">
        <v>69</v>
      </c>
      <c r="B1" s="148"/>
      <c r="C1" s="148"/>
      <c r="D1" s="148"/>
      <c r="E1" s="148"/>
      <c r="F1" s="148"/>
      <c r="G1" s="148"/>
    </row>
    <row r="3" spans="1:7" s="3" customFormat="1" ht="64.5" x14ac:dyDescent="0.25">
      <c r="A3" s="59" t="s">
        <v>57</v>
      </c>
      <c r="B3" s="59" t="s">
        <v>58</v>
      </c>
      <c r="C3" s="60" t="s">
        <v>68</v>
      </c>
      <c r="D3" s="60" t="s">
        <v>73</v>
      </c>
      <c r="E3" s="60" t="s">
        <v>71</v>
      </c>
      <c r="F3" s="60" t="s">
        <v>72</v>
      </c>
      <c r="G3" s="60" t="s">
        <v>70</v>
      </c>
    </row>
    <row r="4" spans="1:7" ht="24.95" customHeight="1" x14ac:dyDescent="0.3">
      <c r="A4" s="54">
        <v>1</v>
      </c>
      <c r="B4" s="53"/>
      <c r="C4" s="53"/>
      <c r="D4" s="53"/>
      <c r="E4" s="53"/>
      <c r="F4" s="53"/>
      <c r="G4" s="53"/>
    </row>
    <row r="5" spans="1:7" ht="24.95" customHeight="1" x14ac:dyDescent="0.3">
      <c r="A5" s="55">
        <v>2</v>
      </c>
      <c r="B5" s="51"/>
      <c r="C5" s="51"/>
      <c r="D5" s="51"/>
      <c r="E5" s="51"/>
      <c r="F5" s="51"/>
      <c r="G5" s="51"/>
    </row>
    <row r="6" spans="1:7" ht="24.95" customHeight="1" x14ac:dyDescent="0.3">
      <c r="A6" s="54">
        <v>3</v>
      </c>
      <c r="B6" s="51"/>
      <c r="C6" s="51"/>
      <c r="D6" s="51"/>
      <c r="E6" s="51"/>
      <c r="F6" s="51"/>
      <c r="G6" s="51"/>
    </row>
    <row r="7" spans="1:7" ht="24.95" customHeight="1" x14ac:dyDescent="0.3">
      <c r="A7" s="55">
        <v>4</v>
      </c>
      <c r="B7" s="51"/>
      <c r="C7" s="51"/>
      <c r="D7" s="51"/>
      <c r="E7" s="51"/>
      <c r="F7" s="51"/>
      <c r="G7" s="51"/>
    </row>
    <row r="8" spans="1:7" ht="24.95" customHeight="1" x14ac:dyDescent="0.3">
      <c r="A8" s="54">
        <v>5</v>
      </c>
      <c r="B8" s="51"/>
      <c r="C8" s="51"/>
      <c r="D8" s="51"/>
      <c r="E8" s="51"/>
      <c r="F8" s="51"/>
      <c r="G8" s="51"/>
    </row>
    <row r="9" spans="1:7" ht="24.95" customHeight="1" x14ac:dyDescent="0.3">
      <c r="A9" s="55">
        <v>6</v>
      </c>
      <c r="B9" s="51"/>
      <c r="C9" s="51"/>
      <c r="D9" s="51"/>
      <c r="E9" s="51"/>
      <c r="F9" s="51"/>
      <c r="G9" s="51"/>
    </row>
    <row r="10" spans="1:7" ht="24.95" customHeight="1" x14ac:dyDescent="0.3">
      <c r="A10" s="54">
        <v>7</v>
      </c>
      <c r="B10" s="51"/>
      <c r="C10" s="51"/>
      <c r="D10" s="51"/>
      <c r="E10" s="51"/>
      <c r="F10" s="51"/>
      <c r="G10" s="51"/>
    </row>
    <row r="11" spans="1:7" ht="24.95" customHeight="1" x14ac:dyDescent="0.3">
      <c r="A11" s="55">
        <v>8</v>
      </c>
      <c r="B11" s="51"/>
      <c r="C11" s="51"/>
      <c r="D11" s="51"/>
      <c r="E11" s="51"/>
      <c r="F11" s="51"/>
      <c r="G11" s="51"/>
    </row>
    <row r="12" spans="1:7" ht="24.95" customHeight="1" x14ac:dyDescent="0.3">
      <c r="A12" s="54">
        <v>9</v>
      </c>
      <c r="B12" s="51"/>
      <c r="C12" s="51"/>
      <c r="D12" s="51"/>
      <c r="E12" s="51"/>
      <c r="F12" s="51"/>
      <c r="G12" s="51"/>
    </row>
    <row r="13" spans="1:7" ht="24.95" customHeight="1" x14ac:dyDescent="0.3">
      <c r="A13" s="55">
        <v>10</v>
      </c>
      <c r="B13" s="51"/>
      <c r="C13" s="51"/>
      <c r="D13" s="51"/>
      <c r="E13" s="51"/>
      <c r="F13" s="51"/>
      <c r="G13" s="51"/>
    </row>
    <row r="14" spans="1:7" ht="24.95" customHeight="1" x14ac:dyDescent="0.3">
      <c r="A14" s="54">
        <v>11</v>
      </c>
      <c r="B14" s="51"/>
      <c r="C14" s="51"/>
      <c r="D14" s="51"/>
      <c r="E14" s="51"/>
      <c r="F14" s="51"/>
      <c r="G14" s="51"/>
    </row>
    <row r="15" spans="1:7" ht="24.95" customHeight="1" x14ac:dyDescent="0.3">
      <c r="A15" s="55">
        <v>12</v>
      </c>
      <c r="B15" s="51"/>
      <c r="C15" s="51"/>
      <c r="D15" s="51"/>
      <c r="E15" s="51"/>
      <c r="F15" s="51"/>
      <c r="G15" s="51"/>
    </row>
    <row r="16" spans="1:7" ht="24.95" customHeight="1" x14ac:dyDescent="0.3">
      <c r="A16" s="54">
        <v>13</v>
      </c>
      <c r="B16" s="51"/>
      <c r="C16" s="51"/>
      <c r="D16" s="51"/>
      <c r="E16" s="51"/>
      <c r="F16" s="51"/>
      <c r="G16" s="51"/>
    </row>
    <row r="17" spans="1:7" ht="24.95" customHeight="1" x14ac:dyDescent="0.3">
      <c r="A17" s="55">
        <v>14</v>
      </c>
      <c r="B17" s="51"/>
      <c r="C17" s="51"/>
      <c r="D17" s="51"/>
      <c r="E17" s="51"/>
      <c r="F17" s="51"/>
      <c r="G17" s="51"/>
    </row>
    <row r="18" spans="1:7" ht="24.95" customHeight="1" x14ac:dyDescent="0.3">
      <c r="A18" s="54">
        <v>15</v>
      </c>
      <c r="B18" s="51"/>
      <c r="C18" s="51"/>
      <c r="D18" s="51"/>
      <c r="E18" s="51"/>
      <c r="F18" s="51"/>
      <c r="G18" s="51"/>
    </row>
    <row r="19" spans="1:7" ht="24.95" customHeight="1" x14ac:dyDescent="0.3">
      <c r="A19" s="55">
        <v>16</v>
      </c>
      <c r="B19" s="51"/>
      <c r="C19" s="51"/>
      <c r="D19" s="51"/>
      <c r="E19" s="51"/>
      <c r="F19" s="51"/>
      <c r="G19" s="51"/>
    </row>
    <row r="20" spans="1:7" ht="24.95" customHeight="1" x14ac:dyDescent="0.3">
      <c r="A20" s="54">
        <v>17</v>
      </c>
      <c r="B20" s="51"/>
      <c r="C20" s="51"/>
      <c r="D20" s="51"/>
      <c r="E20" s="51"/>
      <c r="F20" s="51"/>
      <c r="G20" s="51"/>
    </row>
    <row r="21" spans="1:7" ht="24.95" customHeight="1" x14ac:dyDescent="0.3">
      <c r="A21" s="55">
        <v>18</v>
      </c>
      <c r="B21" s="51"/>
      <c r="C21" s="51"/>
      <c r="D21" s="51"/>
      <c r="E21" s="51"/>
      <c r="F21" s="51"/>
      <c r="G21" s="51"/>
    </row>
    <row r="22" spans="1:7" ht="24.95" customHeight="1" x14ac:dyDescent="0.3">
      <c r="A22" s="54">
        <v>19</v>
      </c>
      <c r="B22" s="51"/>
      <c r="C22" s="51"/>
      <c r="D22" s="51"/>
      <c r="E22" s="51"/>
      <c r="F22" s="51"/>
      <c r="G22" s="51"/>
    </row>
    <row r="23" spans="1:7" ht="24.95" customHeight="1" x14ac:dyDescent="0.3">
      <c r="A23" s="55">
        <v>20</v>
      </c>
      <c r="B23" s="51"/>
      <c r="C23" s="51"/>
      <c r="D23" s="51"/>
      <c r="E23" s="51"/>
      <c r="F23" s="51"/>
      <c r="G23" s="51"/>
    </row>
    <row r="24" spans="1:7" ht="24.95" customHeight="1" x14ac:dyDescent="0.3">
      <c r="A24" s="54">
        <v>21</v>
      </c>
      <c r="B24" s="51"/>
      <c r="C24" s="51"/>
      <c r="D24" s="51"/>
      <c r="E24" s="51"/>
      <c r="F24" s="51"/>
      <c r="G24" s="51"/>
    </row>
    <row r="25" spans="1:7" ht="24.95" customHeight="1" x14ac:dyDescent="0.3">
      <c r="A25" s="55">
        <v>22</v>
      </c>
      <c r="B25" s="51"/>
      <c r="C25" s="51"/>
      <c r="D25" s="51"/>
      <c r="E25" s="51"/>
      <c r="F25" s="51"/>
      <c r="G25" s="51"/>
    </row>
    <row r="26" spans="1:7" ht="24.95" customHeight="1" x14ac:dyDescent="0.3">
      <c r="A26" s="54">
        <v>23</v>
      </c>
      <c r="B26" s="51"/>
      <c r="C26" s="51"/>
      <c r="D26" s="51"/>
      <c r="E26" s="51"/>
      <c r="F26" s="51"/>
      <c r="G26" s="51"/>
    </row>
    <row r="27" spans="1:7" ht="24.95" customHeight="1" x14ac:dyDescent="0.3">
      <c r="A27" s="55">
        <v>24</v>
      </c>
      <c r="B27" s="51"/>
      <c r="C27" s="51"/>
      <c r="D27" s="51"/>
      <c r="E27" s="51"/>
      <c r="F27" s="51"/>
      <c r="G27" s="51"/>
    </row>
    <row r="28" spans="1:7" ht="24.95" customHeight="1" x14ac:dyDescent="0.3">
      <c r="A28" s="54">
        <v>25</v>
      </c>
      <c r="B28" s="51"/>
      <c r="C28" s="51"/>
      <c r="D28" s="51"/>
      <c r="E28" s="51"/>
      <c r="F28" s="51"/>
      <c r="G28" s="51"/>
    </row>
    <row r="29" spans="1:7" ht="24.95" customHeight="1" x14ac:dyDescent="0.3">
      <c r="A29" s="55">
        <v>26</v>
      </c>
      <c r="B29" s="51"/>
      <c r="C29" s="51"/>
      <c r="D29" s="51"/>
      <c r="E29" s="51"/>
      <c r="F29" s="51"/>
      <c r="G29" s="51"/>
    </row>
    <row r="30" spans="1:7" ht="24.95" customHeight="1" x14ac:dyDescent="0.3">
      <c r="A30" s="54">
        <v>27</v>
      </c>
      <c r="B30" s="51"/>
      <c r="C30" s="51"/>
      <c r="D30" s="51"/>
      <c r="E30" s="51"/>
      <c r="F30" s="51"/>
      <c r="G30" s="51"/>
    </row>
    <row r="31" spans="1:7" ht="24.95" customHeight="1" x14ac:dyDescent="0.3">
      <c r="A31" s="55">
        <v>28</v>
      </c>
      <c r="B31" s="51"/>
      <c r="C31" s="51"/>
      <c r="D31" s="51"/>
      <c r="E31" s="51"/>
      <c r="F31" s="51"/>
      <c r="G31" s="51"/>
    </row>
    <row r="32" spans="1:7" ht="24.95" customHeight="1" x14ac:dyDescent="0.3">
      <c r="A32" s="54">
        <v>29</v>
      </c>
      <c r="B32" s="51"/>
      <c r="C32" s="51"/>
      <c r="D32" s="51"/>
      <c r="E32" s="51"/>
      <c r="F32" s="51"/>
      <c r="G32" s="51"/>
    </row>
    <row r="33" spans="1:7" ht="24.95" customHeight="1" x14ac:dyDescent="0.3">
      <c r="A33" s="55">
        <v>30</v>
      </c>
      <c r="B33" s="51"/>
      <c r="C33" s="51"/>
      <c r="D33" s="51"/>
      <c r="E33" s="51"/>
      <c r="F33" s="51"/>
      <c r="G33" s="51"/>
    </row>
    <row r="34" spans="1:7" ht="24.95" customHeight="1" x14ac:dyDescent="0.3">
      <c r="A34" s="54">
        <v>31</v>
      </c>
      <c r="B34" s="51"/>
      <c r="C34" s="51"/>
      <c r="D34" s="51"/>
      <c r="E34" s="51"/>
      <c r="F34" s="51"/>
      <c r="G34" s="51"/>
    </row>
    <row r="35" spans="1:7" ht="24.95" customHeight="1" x14ac:dyDescent="0.3">
      <c r="A35" s="55">
        <v>32</v>
      </c>
      <c r="B35" s="51"/>
      <c r="C35" s="51"/>
      <c r="D35" s="51"/>
      <c r="E35" s="51"/>
      <c r="F35" s="51"/>
      <c r="G35" s="51"/>
    </row>
    <row r="36" spans="1:7" ht="24.95" customHeight="1" x14ac:dyDescent="0.3">
      <c r="A36" s="54">
        <v>33</v>
      </c>
      <c r="B36" s="51"/>
      <c r="C36" s="51"/>
      <c r="D36" s="51"/>
      <c r="E36" s="51"/>
      <c r="F36" s="51"/>
      <c r="G36" s="51"/>
    </row>
    <row r="37" spans="1:7" ht="24.95" customHeight="1" x14ac:dyDescent="0.3">
      <c r="A37" s="55">
        <v>34</v>
      </c>
      <c r="B37" s="51"/>
      <c r="C37" s="51"/>
      <c r="D37" s="51"/>
      <c r="E37" s="51"/>
      <c r="F37" s="51"/>
      <c r="G37" s="51"/>
    </row>
    <row r="38" spans="1:7" ht="24.95" customHeight="1" x14ac:dyDescent="0.3">
      <c r="A38" s="54">
        <v>35</v>
      </c>
      <c r="B38" s="51"/>
      <c r="C38" s="51"/>
      <c r="D38" s="51"/>
      <c r="E38" s="51"/>
      <c r="F38" s="51"/>
      <c r="G38" s="51"/>
    </row>
    <row r="39" spans="1:7" ht="24.95" customHeight="1" x14ac:dyDescent="0.3">
      <c r="A39" s="55">
        <v>36</v>
      </c>
      <c r="B39" s="51"/>
      <c r="C39" s="51"/>
      <c r="D39" s="51"/>
      <c r="E39" s="51"/>
      <c r="F39" s="51"/>
      <c r="G39" s="51"/>
    </row>
    <row r="40" spans="1:7" ht="24.95" customHeight="1" x14ac:dyDescent="0.3">
      <c r="A40" s="54">
        <v>37</v>
      </c>
      <c r="B40" s="51"/>
      <c r="C40" s="51"/>
      <c r="D40" s="51"/>
      <c r="E40" s="51"/>
      <c r="F40" s="51"/>
      <c r="G40" s="51"/>
    </row>
    <row r="41" spans="1:7" ht="24.95" customHeight="1" x14ac:dyDescent="0.3">
      <c r="A41" s="55">
        <v>38</v>
      </c>
      <c r="B41" s="51"/>
      <c r="C41" s="51"/>
      <c r="D41" s="51"/>
      <c r="E41" s="51"/>
      <c r="F41" s="51"/>
      <c r="G41" s="51"/>
    </row>
    <row r="42" spans="1:7" ht="24.95" customHeight="1" x14ac:dyDescent="0.3">
      <c r="A42" s="54">
        <v>39</v>
      </c>
      <c r="B42" s="51"/>
      <c r="C42" s="51"/>
      <c r="D42" s="51"/>
      <c r="E42" s="51"/>
      <c r="F42" s="51"/>
      <c r="G42" s="51"/>
    </row>
    <row r="43" spans="1:7" ht="24.95" customHeight="1" x14ac:dyDescent="0.3">
      <c r="A43" s="55">
        <v>40</v>
      </c>
      <c r="B43" s="51"/>
      <c r="C43" s="51"/>
      <c r="D43" s="51"/>
      <c r="E43" s="51"/>
      <c r="F43" s="51"/>
      <c r="G43" s="51"/>
    </row>
    <row r="44" spans="1:7" ht="24.95" customHeight="1" x14ac:dyDescent="0.3">
      <c r="A44" s="54">
        <v>41</v>
      </c>
      <c r="B44" s="51"/>
      <c r="C44" s="51"/>
      <c r="D44" s="51"/>
      <c r="E44" s="51"/>
      <c r="F44" s="51"/>
      <c r="G44" s="51"/>
    </row>
    <row r="45" spans="1:7" ht="24.95" customHeight="1" x14ac:dyDescent="0.3">
      <c r="A45" s="55">
        <v>42</v>
      </c>
      <c r="B45" s="51"/>
      <c r="C45" s="51"/>
      <c r="D45" s="51"/>
      <c r="E45" s="51"/>
      <c r="F45" s="51"/>
      <c r="G45" s="51"/>
    </row>
    <row r="46" spans="1:7" ht="24.95" customHeight="1" x14ac:dyDescent="0.3">
      <c r="A46" s="54">
        <v>43</v>
      </c>
      <c r="B46" s="51"/>
      <c r="C46" s="51"/>
      <c r="D46" s="51"/>
      <c r="E46" s="51"/>
      <c r="F46" s="51"/>
      <c r="G46" s="51"/>
    </row>
    <row r="47" spans="1:7" ht="24.95" customHeight="1" x14ac:dyDescent="0.3">
      <c r="A47" s="55">
        <v>44</v>
      </c>
      <c r="B47" s="51"/>
      <c r="C47" s="51"/>
      <c r="D47" s="51"/>
      <c r="E47" s="51"/>
      <c r="F47" s="51"/>
      <c r="G47" s="51"/>
    </row>
    <row r="48" spans="1:7" ht="24.95" customHeight="1" x14ac:dyDescent="0.3">
      <c r="A48" s="54">
        <v>45</v>
      </c>
      <c r="B48" s="51"/>
      <c r="C48" s="51"/>
      <c r="D48" s="51"/>
      <c r="E48" s="51"/>
      <c r="F48" s="51"/>
      <c r="G48" s="51"/>
    </row>
    <row r="49" spans="1:7" ht="24.95" customHeight="1" x14ac:dyDescent="0.3">
      <c r="A49" s="55">
        <v>46</v>
      </c>
      <c r="B49" s="51"/>
      <c r="C49" s="51"/>
      <c r="D49" s="51"/>
      <c r="E49" s="51"/>
      <c r="F49" s="51"/>
      <c r="G49" s="51"/>
    </row>
    <row r="50" spans="1:7" ht="24.95" customHeight="1" x14ac:dyDescent="0.3">
      <c r="A50" s="54">
        <v>47</v>
      </c>
      <c r="B50" s="51"/>
      <c r="C50" s="51"/>
      <c r="D50" s="51"/>
      <c r="E50" s="51"/>
      <c r="F50" s="51"/>
      <c r="G50" s="51"/>
    </row>
    <row r="51" spans="1:7" ht="24.95" customHeight="1" x14ac:dyDescent="0.3">
      <c r="A51" s="55">
        <v>48</v>
      </c>
      <c r="B51" s="51"/>
      <c r="C51" s="51"/>
      <c r="D51" s="51"/>
      <c r="E51" s="51"/>
      <c r="F51" s="51"/>
      <c r="G51" s="51"/>
    </row>
    <row r="52" spans="1:7" ht="24.95" customHeight="1" x14ac:dyDescent="0.3">
      <c r="A52" s="54">
        <v>49</v>
      </c>
      <c r="B52" s="51"/>
      <c r="C52" s="51"/>
      <c r="D52" s="51"/>
      <c r="E52" s="51"/>
      <c r="F52" s="51"/>
      <c r="G52" s="51"/>
    </row>
    <row r="53" spans="1:7" ht="24.95" customHeight="1" x14ac:dyDescent="0.3">
      <c r="A53" s="55">
        <v>50</v>
      </c>
      <c r="B53" s="51"/>
      <c r="C53" s="51"/>
      <c r="D53" s="51"/>
      <c r="E53" s="51"/>
      <c r="F53" s="51"/>
      <c r="G53" s="51"/>
    </row>
    <row r="54" spans="1:7" ht="24.95" customHeight="1" x14ac:dyDescent="0.3">
      <c r="A54" s="54">
        <v>51</v>
      </c>
      <c r="B54" s="51"/>
      <c r="C54" s="51"/>
      <c r="D54" s="51"/>
      <c r="E54" s="51"/>
      <c r="F54" s="51"/>
      <c r="G54" s="51"/>
    </row>
    <row r="55" spans="1:7" ht="24.95" customHeight="1" x14ac:dyDescent="0.3">
      <c r="A55" s="55">
        <v>52</v>
      </c>
      <c r="B55" s="51"/>
      <c r="C55" s="51"/>
      <c r="D55" s="51"/>
      <c r="E55" s="51"/>
      <c r="F55" s="51"/>
      <c r="G55" s="51"/>
    </row>
    <row r="56" spans="1:7" ht="24" customHeight="1" x14ac:dyDescent="0.3">
      <c r="A56" s="54">
        <v>53</v>
      </c>
      <c r="B56" s="51"/>
      <c r="C56" s="51"/>
      <c r="D56" s="51"/>
      <c r="E56" s="51"/>
      <c r="F56" s="51"/>
      <c r="G56" s="51"/>
    </row>
    <row r="57" spans="1:7" ht="24" customHeight="1" x14ac:dyDescent="0.3">
      <c r="A57" s="55">
        <v>54</v>
      </c>
      <c r="B57" s="51"/>
      <c r="C57" s="51"/>
      <c r="D57" s="51"/>
      <c r="E57" s="51"/>
      <c r="F57" s="51"/>
      <c r="G57" s="51"/>
    </row>
    <row r="58" spans="1:7" ht="24" customHeight="1" x14ac:dyDescent="0.3">
      <c r="A58" s="54">
        <v>55</v>
      </c>
      <c r="B58" s="51"/>
      <c r="C58" s="51"/>
      <c r="D58" s="51"/>
      <c r="E58" s="51"/>
      <c r="F58" s="51"/>
      <c r="G58" s="51"/>
    </row>
    <row r="59" spans="1:7" ht="24" customHeight="1" x14ac:dyDescent="0.3">
      <c r="A59" s="55">
        <v>56</v>
      </c>
      <c r="B59" s="51"/>
      <c r="C59" s="51"/>
      <c r="D59" s="51"/>
      <c r="E59" s="51"/>
      <c r="F59" s="51"/>
      <c r="G59" s="51"/>
    </row>
    <row r="60" spans="1:7" ht="24" customHeight="1" x14ac:dyDescent="0.3">
      <c r="A60" s="54">
        <v>57</v>
      </c>
      <c r="B60" s="51"/>
      <c r="C60" s="51"/>
      <c r="D60" s="51"/>
      <c r="E60" s="51"/>
      <c r="F60" s="51"/>
      <c r="G60" s="51"/>
    </row>
    <row r="61" spans="1:7" ht="24" customHeight="1" x14ac:dyDescent="0.3">
      <c r="A61" s="55">
        <v>58</v>
      </c>
      <c r="B61" s="51"/>
      <c r="C61" s="51"/>
      <c r="D61" s="51"/>
      <c r="E61" s="51"/>
      <c r="F61" s="51"/>
      <c r="G61" s="51"/>
    </row>
    <row r="62" spans="1:7" ht="24" customHeight="1" x14ac:dyDescent="0.3">
      <c r="A62" s="54">
        <v>59</v>
      </c>
      <c r="B62" s="51"/>
      <c r="C62" s="51"/>
      <c r="D62" s="51"/>
      <c r="E62" s="51"/>
      <c r="F62" s="51"/>
      <c r="G62" s="51"/>
    </row>
    <row r="63" spans="1:7" ht="24" customHeight="1" x14ac:dyDescent="0.3">
      <c r="A63" s="55">
        <v>60</v>
      </c>
      <c r="B63" s="51"/>
      <c r="C63" s="51"/>
      <c r="D63" s="51"/>
      <c r="E63" s="51"/>
      <c r="F63" s="51"/>
      <c r="G63" s="51"/>
    </row>
    <row r="64" spans="1:7" ht="24" customHeight="1" x14ac:dyDescent="0.3">
      <c r="A64" s="54">
        <v>61</v>
      </c>
      <c r="B64" s="51"/>
      <c r="C64" s="51"/>
      <c r="D64" s="51"/>
      <c r="E64" s="51"/>
      <c r="F64" s="51"/>
      <c r="G64" s="51"/>
    </row>
    <row r="65" spans="1:7" ht="24" customHeight="1" x14ac:dyDescent="0.3">
      <c r="A65" s="55">
        <v>62</v>
      </c>
      <c r="B65" s="51"/>
      <c r="C65" s="51"/>
      <c r="D65" s="51"/>
      <c r="E65" s="51"/>
      <c r="F65" s="51"/>
      <c r="G65" s="51"/>
    </row>
    <row r="66" spans="1:7" ht="24" customHeight="1" x14ac:dyDescent="0.3">
      <c r="A66" s="54">
        <v>63</v>
      </c>
      <c r="B66" s="51"/>
      <c r="C66" s="51"/>
      <c r="D66" s="51"/>
      <c r="E66" s="51"/>
      <c r="F66" s="51"/>
      <c r="G66" s="51"/>
    </row>
    <row r="67" spans="1:7" ht="24" customHeight="1" x14ac:dyDescent="0.3">
      <c r="A67" s="55">
        <v>64</v>
      </c>
      <c r="B67" s="51"/>
      <c r="C67" s="51"/>
      <c r="D67" s="51"/>
      <c r="E67" s="51"/>
      <c r="F67" s="51"/>
      <c r="G67" s="51"/>
    </row>
    <row r="68" spans="1:7" ht="24" customHeight="1" x14ac:dyDescent="0.3">
      <c r="A68" s="54">
        <v>65</v>
      </c>
      <c r="B68" s="51"/>
      <c r="C68" s="51"/>
      <c r="D68" s="51"/>
      <c r="E68" s="51"/>
      <c r="F68" s="51"/>
      <c r="G68" s="51"/>
    </row>
    <row r="69" spans="1:7" ht="24" customHeight="1" x14ac:dyDescent="0.3">
      <c r="A69" s="55">
        <v>66</v>
      </c>
      <c r="B69" s="51"/>
      <c r="C69" s="51"/>
      <c r="D69" s="51"/>
      <c r="E69" s="51"/>
      <c r="F69" s="51"/>
      <c r="G69" s="51"/>
    </row>
    <row r="70" spans="1:7" ht="24" customHeight="1" x14ac:dyDescent="0.3">
      <c r="A70" s="54">
        <v>67</v>
      </c>
      <c r="B70" s="51"/>
      <c r="C70" s="51"/>
      <c r="D70" s="51"/>
      <c r="E70" s="51"/>
      <c r="F70" s="51"/>
      <c r="G70" s="51"/>
    </row>
    <row r="71" spans="1:7" ht="24" customHeight="1" x14ac:dyDescent="0.3">
      <c r="A71" s="55">
        <v>68</v>
      </c>
      <c r="B71" s="51"/>
      <c r="C71" s="51"/>
      <c r="D71" s="51"/>
      <c r="E71" s="51"/>
      <c r="F71" s="51"/>
      <c r="G71" s="51"/>
    </row>
    <row r="72" spans="1:7" ht="24" customHeight="1" x14ac:dyDescent="0.3">
      <c r="A72" s="54">
        <v>69</v>
      </c>
      <c r="B72" s="51"/>
      <c r="C72" s="51"/>
      <c r="D72" s="51"/>
      <c r="E72" s="51"/>
      <c r="F72" s="51"/>
      <c r="G72" s="51"/>
    </row>
    <row r="73" spans="1:7" ht="24" customHeight="1" x14ac:dyDescent="0.3">
      <c r="A73" s="55">
        <v>70</v>
      </c>
      <c r="B73" s="51"/>
      <c r="C73" s="51"/>
      <c r="D73" s="51"/>
      <c r="E73" s="51"/>
      <c r="F73" s="51"/>
      <c r="G73" s="51"/>
    </row>
    <row r="74" spans="1:7" ht="24" customHeight="1" x14ac:dyDescent="0.3">
      <c r="A74" s="54">
        <v>71</v>
      </c>
      <c r="B74" s="51"/>
      <c r="C74" s="51"/>
      <c r="D74" s="51"/>
      <c r="E74" s="51"/>
      <c r="F74" s="51"/>
      <c r="G74" s="51"/>
    </row>
    <row r="75" spans="1:7" ht="24" customHeight="1" x14ac:dyDescent="0.3">
      <c r="A75" s="55">
        <v>72</v>
      </c>
      <c r="B75" s="51"/>
      <c r="C75" s="51"/>
      <c r="D75" s="51"/>
      <c r="E75" s="51"/>
      <c r="F75" s="51"/>
      <c r="G75" s="51"/>
    </row>
    <row r="76" spans="1:7" ht="24" customHeight="1" x14ac:dyDescent="0.3">
      <c r="A76" s="54">
        <v>73</v>
      </c>
      <c r="B76" s="51"/>
      <c r="C76" s="51"/>
      <c r="D76" s="51"/>
      <c r="E76" s="51"/>
      <c r="F76" s="51"/>
      <c r="G76" s="51"/>
    </row>
    <row r="77" spans="1:7" ht="24" customHeight="1" x14ac:dyDescent="0.3">
      <c r="A77" s="55">
        <v>74</v>
      </c>
      <c r="B77" s="51"/>
      <c r="C77" s="51"/>
      <c r="D77" s="51"/>
      <c r="E77" s="51"/>
      <c r="F77" s="51"/>
      <c r="G77" s="51"/>
    </row>
    <row r="78" spans="1:7" x14ac:dyDescent="0.3">
      <c r="A78" s="54">
        <v>75</v>
      </c>
      <c r="B78" s="51"/>
      <c r="C78" s="51"/>
      <c r="D78" s="51"/>
      <c r="E78" s="51"/>
      <c r="F78" s="51"/>
      <c r="G78" s="51"/>
    </row>
    <row r="79" spans="1:7" x14ac:dyDescent="0.3">
      <c r="A79" s="55">
        <v>76</v>
      </c>
      <c r="B79" s="51"/>
      <c r="C79" s="51"/>
      <c r="D79" s="51"/>
      <c r="E79" s="51"/>
      <c r="F79" s="51"/>
      <c r="G79" s="51"/>
    </row>
    <row r="80" spans="1:7" x14ac:dyDescent="0.3">
      <c r="A80" s="54">
        <v>77</v>
      </c>
      <c r="B80" s="51"/>
      <c r="C80" s="51"/>
      <c r="D80" s="51"/>
      <c r="E80" s="51"/>
      <c r="F80" s="51"/>
      <c r="G80" s="51"/>
    </row>
    <row r="81" spans="1:7" x14ac:dyDescent="0.3">
      <c r="A81" s="55">
        <v>78</v>
      </c>
      <c r="B81" s="51"/>
      <c r="C81" s="51"/>
      <c r="D81" s="51"/>
      <c r="E81" s="51"/>
      <c r="F81" s="51"/>
      <c r="G81" s="51"/>
    </row>
    <row r="82" spans="1:7" x14ac:dyDescent="0.3">
      <c r="A82" s="54">
        <v>79</v>
      </c>
      <c r="B82" s="51"/>
      <c r="C82" s="51"/>
      <c r="D82" s="51"/>
      <c r="E82" s="51"/>
      <c r="F82" s="51"/>
      <c r="G82" s="51"/>
    </row>
    <row r="83" spans="1:7" x14ac:dyDescent="0.3">
      <c r="A83" s="55">
        <v>80</v>
      </c>
      <c r="B83" s="51"/>
      <c r="C83" s="51"/>
      <c r="D83" s="51"/>
      <c r="E83" s="51"/>
      <c r="F83" s="51"/>
      <c r="G83" s="51"/>
    </row>
    <row r="84" spans="1:7" x14ac:dyDescent="0.3">
      <c r="A84" s="54">
        <v>81</v>
      </c>
      <c r="B84" s="51"/>
      <c r="C84" s="51"/>
      <c r="D84" s="51"/>
      <c r="E84" s="51"/>
      <c r="F84" s="51"/>
      <c r="G84" s="51"/>
    </row>
    <row r="85" spans="1:7" x14ac:dyDescent="0.3">
      <c r="A85" s="55">
        <v>82</v>
      </c>
      <c r="B85" s="51"/>
      <c r="C85" s="51"/>
      <c r="D85" s="51"/>
      <c r="E85" s="51"/>
      <c r="F85" s="51"/>
      <c r="G85" s="51"/>
    </row>
    <row r="86" spans="1:7" x14ac:dyDescent="0.3">
      <c r="A86" s="54">
        <v>83</v>
      </c>
      <c r="B86" s="51"/>
      <c r="C86" s="51"/>
      <c r="D86" s="51"/>
      <c r="E86" s="51"/>
      <c r="F86" s="51"/>
      <c r="G86" s="51"/>
    </row>
    <row r="87" spans="1:7" x14ac:dyDescent="0.3">
      <c r="A87" s="55">
        <v>84</v>
      </c>
      <c r="B87" s="51"/>
      <c r="C87" s="51"/>
      <c r="D87" s="51"/>
      <c r="E87" s="51"/>
      <c r="F87" s="51"/>
      <c r="G87" s="51"/>
    </row>
    <row r="88" spans="1:7" x14ac:dyDescent="0.3">
      <c r="A88" s="54">
        <v>85</v>
      </c>
      <c r="B88" s="51"/>
      <c r="C88" s="51"/>
      <c r="D88" s="51"/>
      <c r="E88" s="51"/>
      <c r="F88" s="51"/>
      <c r="G88" s="51"/>
    </row>
    <row r="89" spans="1:7" x14ac:dyDescent="0.3">
      <c r="A89" s="55">
        <v>86</v>
      </c>
      <c r="B89" s="51"/>
      <c r="C89" s="51"/>
      <c r="D89" s="51"/>
      <c r="E89" s="51"/>
      <c r="F89" s="51"/>
      <c r="G89" s="51"/>
    </row>
    <row r="90" spans="1:7" x14ac:dyDescent="0.3">
      <c r="A90" s="54">
        <v>87</v>
      </c>
      <c r="B90" s="51"/>
      <c r="C90" s="51"/>
      <c r="D90" s="51"/>
      <c r="E90" s="51"/>
      <c r="F90" s="51"/>
      <c r="G90" s="51"/>
    </row>
    <row r="91" spans="1:7" x14ac:dyDescent="0.3">
      <c r="A91" s="55">
        <v>88</v>
      </c>
      <c r="B91" s="51"/>
      <c r="C91" s="51"/>
      <c r="D91" s="51"/>
      <c r="E91" s="51"/>
      <c r="F91" s="51"/>
      <c r="G91" s="51"/>
    </row>
    <row r="92" spans="1:7" x14ac:dyDescent="0.3">
      <c r="A92" s="54">
        <v>89</v>
      </c>
      <c r="B92" s="51"/>
      <c r="C92" s="51"/>
      <c r="D92" s="51"/>
      <c r="E92" s="51"/>
      <c r="F92" s="51"/>
      <c r="G92" s="51"/>
    </row>
    <row r="93" spans="1:7" x14ac:dyDescent="0.3">
      <c r="A93" s="55">
        <v>90</v>
      </c>
      <c r="B93" s="51"/>
      <c r="C93" s="51"/>
      <c r="D93" s="51"/>
      <c r="E93" s="51"/>
      <c r="F93" s="51"/>
      <c r="G93" s="51"/>
    </row>
    <row r="94" spans="1:7" x14ac:dyDescent="0.3">
      <c r="A94" s="54">
        <v>91</v>
      </c>
      <c r="B94" s="51"/>
      <c r="C94" s="51"/>
      <c r="D94" s="51"/>
      <c r="E94" s="51"/>
      <c r="F94" s="51"/>
      <c r="G94" s="51"/>
    </row>
    <row r="95" spans="1:7" x14ac:dyDescent="0.3">
      <c r="A95" s="55">
        <v>92</v>
      </c>
      <c r="B95" s="51"/>
      <c r="C95" s="51"/>
      <c r="D95" s="51"/>
      <c r="E95" s="51"/>
      <c r="F95" s="51"/>
      <c r="G95" s="51"/>
    </row>
    <row r="96" spans="1:7" x14ac:dyDescent="0.3">
      <c r="A96" s="54">
        <v>93</v>
      </c>
      <c r="B96" s="51"/>
      <c r="C96" s="51"/>
      <c r="D96" s="51"/>
      <c r="E96" s="51"/>
      <c r="F96" s="51"/>
      <c r="G96" s="51"/>
    </row>
    <row r="97" spans="1:7" x14ac:dyDescent="0.3">
      <c r="A97" s="55">
        <v>94</v>
      </c>
      <c r="B97" s="51"/>
      <c r="C97" s="51"/>
      <c r="D97" s="51"/>
      <c r="E97" s="51"/>
      <c r="F97" s="51"/>
      <c r="G97" s="51"/>
    </row>
    <row r="98" spans="1:7" x14ac:dyDescent="0.3">
      <c r="A98" s="54">
        <v>95</v>
      </c>
      <c r="B98" s="51"/>
      <c r="C98" s="51"/>
      <c r="D98" s="51"/>
      <c r="E98" s="51"/>
      <c r="F98" s="51"/>
      <c r="G98" s="51"/>
    </row>
    <row r="99" spans="1:7" x14ac:dyDescent="0.3">
      <c r="A99" s="55">
        <v>96</v>
      </c>
      <c r="B99" s="51"/>
      <c r="C99" s="51"/>
      <c r="D99" s="51"/>
      <c r="E99" s="51"/>
      <c r="F99" s="51"/>
      <c r="G99" s="51"/>
    </row>
    <row r="100" spans="1:7" x14ac:dyDescent="0.3">
      <c r="A100" s="54">
        <v>97</v>
      </c>
      <c r="B100" s="51"/>
      <c r="C100" s="51"/>
      <c r="D100" s="51"/>
      <c r="E100" s="51"/>
      <c r="F100" s="51"/>
      <c r="G100" s="51"/>
    </row>
    <row r="101" spans="1:7" x14ac:dyDescent="0.3">
      <c r="A101" s="51"/>
      <c r="B101" s="51"/>
      <c r="C101" s="51"/>
      <c r="D101" s="51"/>
      <c r="E101" s="51"/>
      <c r="F101" s="51"/>
      <c r="G101" s="51"/>
    </row>
    <row r="102" spans="1:7" x14ac:dyDescent="0.3">
      <c r="A102" s="51"/>
      <c r="B102" s="51"/>
      <c r="C102" s="51"/>
      <c r="D102" s="51"/>
      <c r="E102" s="51"/>
      <c r="F102" s="51"/>
      <c r="G102" s="51"/>
    </row>
    <row r="103" spans="1:7" x14ac:dyDescent="0.3">
      <c r="A103" s="51"/>
      <c r="B103" s="51"/>
      <c r="C103" s="51"/>
      <c r="D103" s="51"/>
      <c r="E103" s="51"/>
      <c r="F103" s="51"/>
      <c r="G103" s="51"/>
    </row>
    <row r="104" spans="1:7" x14ac:dyDescent="0.3">
      <c r="A104" s="51"/>
      <c r="B104" s="51"/>
      <c r="C104" s="51"/>
      <c r="D104" s="51"/>
      <c r="E104" s="51"/>
      <c r="F104" s="51"/>
      <c r="G104" s="51"/>
    </row>
    <row r="105" spans="1:7" x14ac:dyDescent="0.3">
      <c r="A105" s="51"/>
      <c r="B105" s="51"/>
      <c r="C105" s="51"/>
      <c r="D105" s="51"/>
      <c r="E105" s="51"/>
      <c r="F105" s="51"/>
      <c r="G105" s="51"/>
    </row>
    <row r="106" spans="1:7" x14ac:dyDescent="0.3">
      <c r="A106" s="52"/>
      <c r="B106" s="52"/>
      <c r="C106" s="52"/>
      <c r="D106" s="52"/>
      <c r="E106" s="52"/>
      <c r="F106" s="52"/>
      <c r="G106" s="52"/>
    </row>
  </sheetData>
  <mergeCells count="1">
    <mergeCell ref="A1:G1"/>
  </mergeCells>
  <printOptions horizontalCentered="1" verticalCentered="1"/>
  <pageMargins left="0.45" right="0.2" top="0.5" bottom="0.2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6"/>
  <sheetViews>
    <sheetView zoomScaleNormal="100" workbookViewId="0">
      <selection activeCell="O6" sqref="O6"/>
    </sheetView>
  </sheetViews>
  <sheetFormatPr defaultRowHeight="18.75" x14ac:dyDescent="0.3"/>
  <cols>
    <col min="1" max="1" width="5.5703125" style="1" customWidth="1"/>
    <col min="2" max="2" width="26.7109375" style="1" customWidth="1"/>
    <col min="3" max="8" width="7.7109375" style="1" bestFit="1" customWidth="1"/>
    <col min="9" max="16384" width="9.140625" style="1"/>
  </cols>
  <sheetData>
    <row r="1" spans="1:10" x14ac:dyDescent="0.3">
      <c r="A1" s="149" t="s">
        <v>67</v>
      </c>
      <c r="B1" s="149"/>
      <c r="C1" s="149"/>
      <c r="D1" s="149"/>
      <c r="E1" s="149"/>
      <c r="F1" s="149"/>
      <c r="G1" s="149"/>
      <c r="H1" s="149"/>
      <c r="I1" s="149"/>
    </row>
    <row r="3" spans="1:10" s="2" customFormat="1" x14ac:dyDescent="0.3">
      <c r="A3" s="56" t="s">
        <v>57</v>
      </c>
      <c r="B3" s="56" t="s">
        <v>58</v>
      </c>
      <c r="C3" s="56" t="s">
        <v>59</v>
      </c>
      <c r="D3" s="56" t="s">
        <v>60</v>
      </c>
      <c r="E3" s="56" t="s">
        <v>61</v>
      </c>
      <c r="F3" s="56" t="s">
        <v>62</v>
      </c>
      <c r="G3" s="56" t="s">
        <v>63</v>
      </c>
      <c r="H3" s="56" t="s">
        <v>64</v>
      </c>
      <c r="I3" s="56" t="s">
        <v>65</v>
      </c>
      <c r="J3" s="56" t="s">
        <v>66</v>
      </c>
    </row>
    <row r="4" spans="1:10" ht="24" customHeight="1" x14ac:dyDescent="0.3">
      <c r="A4" s="54">
        <v>1</v>
      </c>
      <c r="B4" s="53"/>
      <c r="C4" s="53"/>
      <c r="D4" s="53"/>
      <c r="E4" s="53"/>
      <c r="F4" s="53"/>
      <c r="G4" s="53"/>
      <c r="H4" s="53"/>
      <c r="I4" s="53"/>
      <c r="J4" s="53"/>
    </row>
    <row r="5" spans="1:10" ht="24" customHeight="1" x14ac:dyDescent="0.3">
      <c r="A5" s="55">
        <v>2</v>
      </c>
      <c r="B5" s="51"/>
      <c r="C5" s="51"/>
      <c r="D5" s="51"/>
      <c r="E5" s="51"/>
      <c r="F5" s="51"/>
      <c r="G5" s="51"/>
      <c r="H5" s="51"/>
      <c r="I5" s="51"/>
      <c r="J5" s="53"/>
    </row>
    <row r="6" spans="1:10" ht="24" customHeight="1" x14ac:dyDescent="0.3">
      <c r="A6" s="54">
        <v>3</v>
      </c>
      <c r="B6" s="51"/>
      <c r="C6" s="51"/>
      <c r="D6" s="51"/>
      <c r="E6" s="51"/>
      <c r="F6" s="51"/>
      <c r="G6" s="51"/>
      <c r="H6" s="51"/>
      <c r="I6" s="51"/>
      <c r="J6" s="53"/>
    </row>
    <row r="7" spans="1:10" ht="24" customHeight="1" x14ac:dyDescent="0.3">
      <c r="A7" s="55">
        <v>4</v>
      </c>
      <c r="B7" s="51"/>
      <c r="C7" s="51"/>
      <c r="D7" s="51"/>
      <c r="E7" s="51"/>
      <c r="F7" s="51"/>
      <c r="G7" s="51"/>
      <c r="H7" s="51"/>
      <c r="I7" s="51"/>
      <c r="J7" s="53"/>
    </row>
    <row r="8" spans="1:10" ht="24" customHeight="1" x14ac:dyDescent="0.3">
      <c r="A8" s="54">
        <v>5</v>
      </c>
      <c r="B8" s="51"/>
      <c r="C8" s="51"/>
      <c r="D8" s="51"/>
      <c r="E8" s="51"/>
      <c r="F8" s="51"/>
      <c r="G8" s="51"/>
      <c r="H8" s="51"/>
      <c r="I8" s="51"/>
      <c r="J8" s="53"/>
    </row>
    <row r="9" spans="1:10" ht="24" customHeight="1" x14ac:dyDescent="0.3">
      <c r="A9" s="55">
        <v>6</v>
      </c>
      <c r="B9" s="51"/>
      <c r="C9" s="51"/>
      <c r="D9" s="51"/>
      <c r="E9" s="51"/>
      <c r="F9" s="51"/>
      <c r="G9" s="51"/>
      <c r="H9" s="51"/>
      <c r="I9" s="51"/>
      <c r="J9" s="53"/>
    </row>
    <row r="10" spans="1:10" ht="24" customHeight="1" x14ac:dyDescent="0.3">
      <c r="A10" s="54">
        <v>7</v>
      </c>
      <c r="B10" s="51"/>
      <c r="C10" s="51"/>
      <c r="D10" s="51"/>
      <c r="E10" s="51"/>
      <c r="F10" s="51"/>
      <c r="G10" s="51"/>
      <c r="H10" s="51"/>
      <c r="I10" s="51"/>
      <c r="J10" s="53"/>
    </row>
    <row r="11" spans="1:10" ht="24" customHeight="1" x14ac:dyDescent="0.3">
      <c r="A11" s="55">
        <v>8</v>
      </c>
      <c r="B11" s="51"/>
      <c r="C11" s="51"/>
      <c r="D11" s="51"/>
      <c r="E11" s="51"/>
      <c r="F11" s="51"/>
      <c r="G11" s="51"/>
      <c r="H11" s="51"/>
      <c r="I11" s="51"/>
      <c r="J11" s="53"/>
    </row>
    <row r="12" spans="1:10" ht="24" customHeight="1" x14ac:dyDescent="0.3">
      <c r="A12" s="54">
        <v>9</v>
      </c>
      <c r="B12" s="51"/>
      <c r="C12" s="51"/>
      <c r="D12" s="51"/>
      <c r="E12" s="51"/>
      <c r="F12" s="51"/>
      <c r="G12" s="51"/>
      <c r="H12" s="51"/>
      <c r="I12" s="51"/>
      <c r="J12" s="53"/>
    </row>
    <row r="13" spans="1:10" ht="24" customHeight="1" x14ac:dyDescent="0.3">
      <c r="A13" s="55">
        <v>10</v>
      </c>
      <c r="B13" s="51"/>
      <c r="C13" s="51"/>
      <c r="D13" s="51"/>
      <c r="E13" s="51"/>
      <c r="F13" s="51"/>
      <c r="G13" s="51"/>
      <c r="H13" s="51"/>
      <c r="I13" s="51"/>
      <c r="J13" s="53"/>
    </row>
    <row r="14" spans="1:10" ht="24" customHeight="1" x14ac:dyDescent="0.3">
      <c r="A14" s="54">
        <v>11</v>
      </c>
      <c r="B14" s="51"/>
      <c r="C14" s="51"/>
      <c r="D14" s="51"/>
      <c r="E14" s="51"/>
      <c r="F14" s="51"/>
      <c r="G14" s="51"/>
      <c r="H14" s="51"/>
      <c r="I14" s="51"/>
      <c r="J14" s="53"/>
    </row>
    <row r="15" spans="1:10" ht="24" customHeight="1" x14ac:dyDescent="0.3">
      <c r="A15" s="55">
        <v>12</v>
      </c>
      <c r="B15" s="51"/>
      <c r="C15" s="51"/>
      <c r="D15" s="51"/>
      <c r="E15" s="51"/>
      <c r="F15" s="51"/>
      <c r="G15" s="51"/>
      <c r="H15" s="51"/>
      <c r="I15" s="51"/>
      <c r="J15" s="53"/>
    </row>
    <row r="16" spans="1:10" ht="24" customHeight="1" x14ac:dyDescent="0.3">
      <c r="A16" s="54">
        <v>13</v>
      </c>
      <c r="B16" s="51"/>
      <c r="C16" s="51"/>
      <c r="D16" s="51"/>
      <c r="E16" s="51"/>
      <c r="F16" s="51"/>
      <c r="G16" s="51"/>
      <c r="H16" s="51"/>
      <c r="I16" s="51"/>
      <c r="J16" s="53"/>
    </row>
    <row r="17" spans="1:10" ht="24" customHeight="1" x14ac:dyDescent="0.3">
      <c r="A17" s="55">
        <v>14</v>
      </c>
      <c r="B17" s="51"/>
      <c r="C17" s="51"/>
      <c r="D17" s="51"/>
      <c r="E17" s="51"/>
      <c r="F17" s="51"/>
      <c r="G17" s="51"/>
      <c r="H17" s="51"/>
      <c r="I17" s="51"/>
      <c r="J17" s="53"/>
    </row>
    <row r="18" spans="1:10" ht="24" customHeight="1" x14ac:dyDescent="0.3">
      <c r="A18" s="54">
        <v>15</v>
      </c>
      <c r="B18" s="51"/>
      <c r="C18" s="51"/>
      <c r="D18" s="51"/>
      <c r="E18" s="51"/>
      <c r="F18" s="51"/>
      <c r="G18" s="51"/>
      <c r="H18" s="51"/>
      <c r="I18" s="51"/>
      <c r="J18" s="53"/>
    </row>
    <row r="19" spans="1:10" ht="24" customHeight="1" x14ac:dyDescent="0.3">
      <c r="A19" s="55">
        <v>16</v>
      </c>
      <c r="B19" s="51"/>
      <c r="C19" s="51"/>
      <c r="D19" s="51"/>
      <c r="E19" s="51"/>
      <c r="F19" s="51"/>
      <c r="G19" s="51"/>
      <c r="H19" s="51"/>
      <c r="I19" s="51"/>
      <c r="J19" s="53"/>
    </row>
    <row r="20" spans="1:10" ht="24" customHeight="1" x14ac:dyDescent="0.3">
      <c r="A20" s="54">
        <v>17</v>
      </c>
      <c r="B20" s="51"/>
      <c r="C20" s="51"/>
      <c r="D20" s="51"/>
      <c r="E20" s="51"/>
      <c r="F20" s="51"/>
      <c r="G20" s="51"/>
      <c r="H20" s="51"/>
      <c r="I20" s="51"/>
      <c r="J20" s="53"/>
    </row>
    <row r="21" spans="1:10" ht="24" customHeight="1" x14ac:dyDescent="0.3">
      <c r="A21" s="55">
        <v>18</v>
      </c>
      <c r="B21" s="51"/>
      <c r="C21" s="51"/>
      <c r="D21" s="51"/>
      <c r="E21" s="51"/>
      <c r="F21" s="51"/>
      <c r="G21" s="51"/>
      <c r="H21" s="51"/>
      <c r="I21" s="51"/>
      <c r="J21" s="53"/>
    </row>
    <row r="22" spans="1:10" ht="24" customHeight="1" x14ac:dyDescent="0.3">
      <c r="A22" s="54">
        <v>19</v>
      </c>
      <c r="B22" s="51"/>
      <c r="C22" s="51"/>
      <c r="D22" s="51"/>
      <c r="E22" s="51"/>
      <c r="F22" s="51"/>
      <c r="G22" s="51"/>
      <c r="H22" s="51"/>
      <c r="I22" s="51"/>
      <c r="J22" s="53"/>
    </row>
    <row r="23" spans="1:10" ht="24" customHeight="1" x14ac:dyDescent="0.3">
      <c r="A23" s="55">
        <v>20</v>
      </c>
      <c r="B23" s="51"/>
      <c r="C23" s="51"/>
      <c r="D23" s="51"/>
      <c r="E23" s="51"/>
      <c r="F23" s="51"/>
      <c r="G23" s="51"/>
      <c r="H23" s="51"/>
      <c r="I23" s="51"/>
      <c r="J23" s="53"/>
    </row>
    <row r="24" spans="1:10" ht="24" customHeight="1" x14ac:dyDescent="0.3">
      <c r="A24" s="54">
        <v>21</v>
      </c>
      <c r="B24" s="51"/>
      <c r="C24" s="51"/>
      <c r="D24" s="51"/>
      <c r="E24" s="51"/>
      <c r="F24" s="51"/>
      <c r="G24" s="51"/>
      <c r="H24" s="51"/>
      <c r="I24" s="51"/>
      <c r="J24" s="53"/>
    </row>
    <row r="25" spans="1:10" ht="24" customHeight="1" x14ac:dyDescent="0.3">
      <c r="A25" s="55">
        <v>22</v>
      </c>
      <c r="B25" s="51"/>
      <c r="C25" s="51"/>
      <c r="D25" s="51"/>
      <c r="E25" s="51"/>
      <c r="F25" s="51"/>
      <c r="G25" s="51"/>
      <c r="H25" s="51"/>
      <c r="I25" s="51"/>
      <c r="J25" s="53"/>
    </row>
    <row r="26" spans="1:10" ht="24" customHeight="1" x14ac:dyDescent="0.3">
      <c r="A26" s="54">
        <v>23</v>
      </c>
      <c r="B26" s="51"/>
      <c r="C26" s="51"/>
      <c r="D26" s="51"/>
      <c r="E26" s="51"/>
      <c r="F26" s="51"/>
      <c r="G26" s="51"/>
      <c r="H26" s="51"/>
      <c r="I26" s="51"/>
      <c r="J26" s="53"/>
    </row>
    <row r="27" spans="1:10" ht="24" customHeight="1" x14ac:dyDescent="0.3">
      <c r="A27" s="55">
        <v>24</v>
      </c>
      <c r="B27" s="51"/>
      <c r="C27" s="51"/>
      <c r="D27" s="51"/>
      <c r="E27" s="51"/>
      <c r="F27" s="51"/>
      <c r="G27" s="51"/>
      <c r="H27" s="51"/>
      <c r="I27" s="51"/>
      <c r="J27" s="53"/>
    </row>
    <row r="28" spans="1:10" ht="24" customHeight="1" x14ac:dyDescent="0.3">
      <c r="A28" s="54">
        <v>25</v>
      </c>
      <c r="B28" s="51"/>
      <c r="C28" s="51"/>
      <c r="D28" s="51"/>
      <c r="E28" s="51"/>
      <c r="F28" s="51"/>
      <c r="G28" s="51"/>
      <c r="H28" s="51"/>
      <c r="I28" s="51"/>
      <c r="J28" s="53"/>
    </row>
    <row r="29" spans="1:10" ht="24" customHeight="1" x14ac:dyDescent="0.3">
      <c r="A29" s="55">
        <v>26</v>
      </c>
      <c r="B29" s="51"/>
      <c r="C29" s="51"/>
      <c r="D29" s="51"/>
      <c r="E29" s="51"/>
      <c r="F29" s="51"/>
      <c r="G29" s="51"/>
      <c r="H29" s="51"/>
      <c r="I29" s="51"/>
      <c r="J29" s="53"/>
    </row>
    <row r="30" spans="1:10" ht="24" customHeight="1" x14ac:dyDescent="0.3">
      <c r="A30" s="54">
        <v>27</v>
      </c>
      <c r="B30" s="51"/>
      <c r="C30" s="51"/>
      <c r="D30" s="51"/>
      <c r="E30" s="51"/>
      <c r="F30" s="51"/>
      <c r="G30" s="51"/>
      <c r="H30" s="51"/>
      <c r="I30" s="51"/>
      <c r="J30" s="53"/>
    </row>
    <row r="31" spans="1:10" ht="24" customHeight="1" x14ac:dyDescent="0.3">
      <c r="A31" s="55">
        <v>28</v>
      </c>
      <c r="B31" s="51"/>
      <c r="C31" s="51"/>
      <c r="D31" s="51"/>
      <c r="E31" s="51"/>
      <c r="F31" s="51"/>
      <c r="G31" s="51"/>
      <c r="H31" s="51"/>
      <c r="I31" s="51"/>
      <c r="J31" s="53"/>
    </row>
    <row r="32" spans="1:10" ht="24" customHeight="1" x14ac:dyDescent="0.3">
      <c r="A32" s="54">
        <v>29</v>
      </c>
      <c r="B32" s="51"/>
      <c r="C32" s="51"/>
      <c r="D32" s="51"/>
      <c r="E32" s="51"/>
      <c r="F32" s="51"/>
      <c r="G32" s="51"/>
      <c r="H32" s="51"/>
      <c r="I32" s="51"/>
      <c r="J32" s="53"/>
    </row>
    <row r="33" spans="1:10" ht="24" customHeight="1" x14ac:dyDescent="0.3">
      <c r="A33" s="55">
        <v>30</v>
      </c>
      <c r="B33" s="51"/>
      <c r="C33" s="51"/>
      <c r="D33" s="51"/>
      <c r="E33" s="51"/>
      <c r="F33" s="51"/>
      <c r="G33" s="51"/>
      <c r="H33" s="51"/>
      <c r="I33" s="51"/>
      <c r="J33" s="53"/>
    </row>
    <row r="34" spans="1:10" ht="24" customHeight="1" x14ac:dyDescent="0.3">
      <c r="A34" s="54">
        <v>31</v>
      </c>
      <c r="B34" s="51"/>
      <c r="C34" s="51"/>
      <c r="D34" s="51"/>
      <c r="E34" s="51"/>
      <c r="F34" s="51"/>
      <c r="G34" s="51"/>
      <c r="H34" s="51"/>
      <c r="I34" s="51"/>
      <c r="J34" s="53"/>
    </row>
    <row r="35" spans="1:10" ht="24" customHeight="1" x14ac:dyDescent="0.3">
      <c r="A35" s="55">
        <v>32</v>
      </c>
      <c r="B35" s="51"/>
      <c r="C35" s="51"/>
      <c r="D35" s="51"/>
      <c r="E35" s="51"/>
      <c r="F35" s="51"/>
      <c r="G35" s="51"/>
      <c r="H35" s="51"/>
      <c r="I35" s="51"/>
      <c r="J35" s="53"/>
    </row>
    <row r="36" spans="1:10" ht="24" customHeight="1" x14ac:dyDescent="0.3">
      <c r="A36" s="54">
        <v>33</v>
      </c>
      <c r="B36" s="51"/>
      <c r="C36" s="51"/>
      <c r="D36" s="51"/>
      <c r="E36" s="51"/>
      <c r="F36" s="51"/>
      <c r="G36" s="51"/>
      <c r="H36" s="51"/>
      <c r="I36" s="51"/>
      <c r="J36" s="53"/>
    </row>
    <row r="37" spans="1:10" ht="24" customHeight="1" x14ac:dyDescent="0.3">
      <c r="A37" s="55">
        <v>34</v>
      </c>
      <c r="B37" s="51"/>
      <c r="C37" s="51"/>
      <c r="D37" s="51"/>
      <c r="E37" s="51"/>
      <c r="F37" s="51"/>
      <c r="G37" s="51"/>
      <c r="H37" s="51"/>
      <c r="I37" s="51"/>
      <c r="J37" s="53"/>
    </row>
    <row r="38" spans="1:10" ht="24" customHeight="1" x14ac:dyDescent="0.3">
      <c r="A38" s="54">
        <v>35</v>
      </c>
      <c r="B38" s="51"/>
      <c r="C38" s="51"/>
      <c r="D38" s="51"/>
      <c r="E38" s="51"/>
      <c r="F38" s="51"/>
      <c r="G38" s="51"/>
      <c r="H38" s="51"/>
      <c r="I38" s="51"/>
      <c r="J38" s="53"/>
    </row>
    <row r="39" spans="1:10" ht="24" customHeight="1" x14ac:dyDescent="0.3">
      <c r="A39" s="55">
        <v>36</v>
      </c>
      <c r="B39" s="51"/>
      <c r="C39" s="51"/>
      <c r="D39" s="51"/>
      <c r="E39" s="51"/>
      <c r="F39" s="51"/>
      <c r="G39" s="51"/>
      <c r="H39" s="51"/>
      <c r="I39" s="51"/>
      <c r="J39" s="53"/>
    </row>
    <row r="40" spans="1:10" ht="24" customHeight="1" x14ac:dyDescent="0.3">
      <c r="A40" s="54">
        <v>37</v>
      </c>
      <c r="B40" s="51"/>
      <c r="C40" s="51"/>
      <c r="D40" s="51"/>
      <c r="E40" s="51"/>
      <c r="F40" s="51"/>
      <c r="G40" s="51"/>
      <c r="H40" s="51"/>
      <c r="I40" s="51"/>
      <c r="J40" s="53"/>
    </row>
    <row r="41" spans="1:10" ht="24" customHeight="1" x14ac:dyDescent="0.3">
      <c r="A41" s="55">
        <v>38</v>
      </c>
      <c r="B41" s="51"/>
      <c r="C41" s="51"/>
      <c r="D41" s="51"/>
      <c r="E41" s="51"/>
      <c r="F41" s="51"/>
      <c r="G41" s="51"/>
      <c r="H41" s="51"/>
      <c r="I41" s="51"/>
      <c r="J41" s="53"/>
    </row>
    <row r="42" spans="1:10" ht="24" customHeight="1" x14ac:dyDescent="0.3">
      <c r="A42" s="54">
        <v>39</v>
      </c>
      <c r="B42" s="51"/>
      <c r="C42" s="51"/>
      <c r="D42" s="51"/>
      <c r="E42" s="51"/>
      <c r="F42" s="51"/>
      <c r="G42" s="51"/>
      <c r="H42" s="51"/>
      <c r="I42" s="51"/>
      <c r="J42" s="53"/>
    </row>
    <row r="43" spans="1:10" ht="24" customHeight="1" x14ac:dyDescent="0.3">
      <c r="A43" s="55">
        <v>40</v>
      </c>
      <c r="B43" s="51"/>
      <c r="C43" s="51"/>
      <c r="D43" s="51"/>
      <c r="E43" s="51"/>
      <c r="F43" s="51"/>
      <c r="G43" s="51"/>
      <c r="H43" s="51"/>
      <c r="I43" s="51"/>
      <c r="J43" s="53"/>
    </row>
    <row r="44" spans="1:10" ht="24" customHeight="1" x14ac:dyDescent="0.3">
      <c r="A44" s="54">
        <v>41</v>
      </c>
      <c r="B44" s="51"/>
      <c r="C44" s="51"/>
      <c r="D44" s="51"/>
      <c r="E44" s="51"/>
      <c r="F44" s="51"/>
      <c r="G44" s="51"/>
      <c r="H44" s="51"/>
      <c r="I44" s="51"/>
      <c r="J44" s="53"/>
    </row>
    <row r="45" spans="1:10" ht="24" customHeight="1" x14ac:dyDescent="0.3">
      <c r="A45" s="55">
        <v>42</v>
      </c>
      <c r="B45" s="51"/>
      <c r="C45" s="51"/>
      <c r="D45" s="51"/>
      <c r="E45" s="51"/>
      <c r="F45" s="51"/>
      <c r="G45" s="51"/>
      <c r="H45" s="51"/>
      <c r="I45" s="51"/>
      <c r="J45" s="53"/>
    </row>
    <row r="46" spans="1:10" ht="24" customHeight="1" x14ac:dyDescent="0.3">
      <c r="A46" s="54">
        <v>43</v>
      </c>
      <c r="B46" s="51"/>
      <c r="C46" s="51"/>
      <c r="D46" s="51"/>
      <c r="E46" s="51"/>
      <c r="F46" s="51"/>
      <c r="G46" s="51"/>
      <c r="H46" s="51"/>
      <c r="I46" s="51"/>
      <c r="J46" s="53"/>
    </row>
    <row r="47" spans="1:10" ht="24" customHeight="1" x14ac:dyDescent="0.3">
      <c r="A47" s="55">
        <v>44</v>
      </c>
      <c r="B47" s="51"/>
      <c r="C47" s="51"/>
      <c r="D47" s="51"/>
      <c r="E47" s="51"/>
      <c r="F47" s="51"/>
      <c r="G47" s="51"/>
      <c r="H47" s="51"/>
      <c r="I47" s="51"/>
      <c r="J47" s="53"/>
    </row>
    <row r="48" spans="1:10" ht="24" customHeight="1" x14ac:dyDescent="0.3">
      <c r="A48" s="54">
        <v>45</v>
      </c>
      <c r="B48" s="51"/>
      <c r="C48" s="51"/>
      <c r="D48" s="51"/>
      <c r="E48" s="51"/>
      <c r="F48" s="51"/>
      <c r="G48" s="51"/>
      <c r="H48" s="51"/>
      <c r="I48" s="51"/>
      <c r="J48" s="53"/>
    </row>
    <row r="49" spans="1:10" ht="24" customHeight="1" x14ac:dyDescent="0.3">
      <c r="A49" s="55">
        <v>46</v>
      </c>
      <c r="B49" s="51"/>
      <c r="C49" s="51"/>
      <c r="D49" s="51"/>
      <c r="E49" s="51"/>
      <c r="F49" s="51"/>
      <c r="G49" s="51"/>
      <c r="H49" s="51"/>
      <c r="I49" s="51"/>
      <c r="J49" s="53"/>
    </row>
    <row r="50" spans="1:10" ht="24" customHeight="1" x14ac:dyDescent="0.3">
      <c r="A50" s="54">
        <v>47</v>
      </c>
      <c r="B50" s="51"/>
      <c r="C50" s="51"/>
      <c r="D50" s="51"/>
      <c r="E50" s="51"/>
      <c r="F50" s="51"/>
      <c r="G50" s="51"/>
      <c r="H50" s="51"/>
      <c r="I50" s="51"/>
      <c r="J50" s="53"/>
    </row>
    <row r="51" spans="1:10" ht="24" customHeight="1" x14ac:dyDescent="0.3">
      <c r="A51" s="55">
        <v>48</v>
      </c>
      <c r="B51" s="51"/>
      <c r="C51" s="51"/>
      <c r="D51" s="51"/>
      <c r="E51" s="51"/>
      <c r="F51" s="51"/>
      <c r="G51" s="51"/>
      <c r="H51" s="51"/>
      <c r="I51" s="51"/>
      <c r="J51" s="53"/>
    </row>
    <row r="52" spans="1:10" ht="24" customHeight="1" x14ac:dyDescent="0.3">
      <c r="A52" s="54">
        <v>49</v>
      </c>
      <c r="B52" s="51"/>
      <c r="C52" s="51"/>
      <c r="D52" s="51"/>
      <c r="E52" s="51"/>
      <c r="F52" s="51"/>
      <c r="G52" s="51"/>
      <c r="H52" s="51"/>
      <c r="I52" s="51"/>
      <c r="J52" s="53"/>
    </row>
    <row r="53" spans="1:10" ht="24" customHeight="1" x14ac:dyDescent="0.3">
      <c r="A53" s="55">
        <v>50</v>
      </c>
      <c r="B53" s="51"/>
      <c r="C53" s="51"/>
      <c r="D53" s="51"/>
      <c r="E53" s="51"/>
      <c r="F53" s="51"/>
      <c r="G53" s="51"/>
      <c r="H53" s="51"/>
      <c r="I53" s="51"/>
      <c r="J53" s="53"/>
    </row>
    <row r="54" spans="1:10" ht="24" customHeight="1" x14ac:dyDescent="0.3">
      <c r="A54" s="54">
        <v>51</v>
      </c>
      <c r="B54" s="51"/>
      <c r="C54" s="51"/>
      <c r="D54" s="51"/>
      <c r="E54" s="51"/>
      <c r="F54" s="51"/>
      <c r="G54" s="51"/>
      <c r="H54" s="51"/>
      <c r="I54" s="51"/>
      <c r="J54" s="53"/>
    </row>
    <row r="55" spans="1:10" ht="24" customHeight="1" x14ac:dyDescent="0.3">
      <c r="A55" s="55">
        <v>52</v>
      </c>
      <c r="B55" s="51"/>
      <c r="C55" s="51"/>
      <c r="D55" s="51"/>
      <c r="E55" s="51"/>
      <c r="F55" s="51"/>
      <c r="G55" s="51"/>
      <c r="H55" s="51"/>
      <c r="I55" s="51"/>
      <c r="J55" s="53"/>
    </row>
    <row r="56" spans="1:10" ht="24" customHeight="1" x14ac:dyDescent="0.3">
      <c r="A56" s="54">
        <v>53</v>
      </c>
      <c r="B56" s="51"/>
      <c r="C56" s="51"/>
      <c r="D56" s="51"/>
      <c r="E56" s="51"/>
      <c r="F56" s="51"/>
      <c r="G56" s="51"/>
      <c r="H56" s="51"/>
      <c r="I56" s="51"/>
      <c r="J56" s="53"/>
    </row>
    <row r="57" spans="1:10" ht="24" customHeight="1" x14ac:dyDescent="0.3">
      <c r="A57" s="55">
        <v>54</v>
      </c>
      <c r="B57" s="51"/>
      <c r="C57" s="51"/>
      <c r="D57" s="51"/>
      <c r="E57" s="51"/>
      <c r="F57" s="51"/>
      <c r="G57" s="51"/>
      <c r="H57" s="51"/>
      <c r="I57" s="51"/>
      <c r="J57" s="53"/>
    </row>
    <row r="58" spans="1:10" ht="24" customHeight="1" x14ac:dyDescent="0.3">
      <c r="A58" s="54">
        <v>55</v>
      </c>
      <c r="B58" s="51"/>
      <c r="C58" s="51"/>
      <c r="D58" s="51"/>
      <c r="E58" s="51"/>
      <c r="F58" s="51"/>
      <c r="G58" s="51"/>
      <c r="H58" s="51"/>
      <c r="I58" s="51"/>
      <c r="J58" s="53"/>
    </row>
    <row r="59" spans="1:10" ht="24" customHeight="1" x14ac:dyDescent="0.3">
      <c r="A59" s="55">
        <v>56</v>
      </c>
      <c r="B59" s="51"/>
      <c r="C59" s="51"/>
      <c r="D59" s="51"/>
      <c r="E59" s="51"/>
      <c r="F59" s="51"/>
      <c r="G59" s="51"/>
      <c r="H59" s="51"/>
      <c r="I59" s="51"/>
      <c r="J59" s="53"/>
    </row>
    <row r="60" spans="1:10" ht="24" customHeight="1" x14ac:dyDescent="0.3">
      <c r="A60" s="54">
        <v>57</v>
      </c>
      <c r="B60" s="51"/>
      <c r="C60" s="51"/>
      <c r="D60" s="51"/>
      <c r="E60" s="51"/>
      <c r="F60" s="51"/>
      <c r="G60" s="51"/>
      <c r="H60" s="51"/>
      <c r="I60" s="51"/>
      <c r="J60" s="53"/>
    </row>
    <row r="61" spans="1:10" ht="24" customHeight="1" x14ac:dyDescent="0.3">
      <c r="A61" s="55">
        <v>58</v>
      </c>
      <c r="B61" s="51"/>
      <c r="C61" s="51"/>
      <c r="D61" s="51"/>
      <c r="E61" s="51"/>
      <c r="F61" s="51"/>
      <c r="G61" s="51"/>
      <c r="H61" s="51"/>
      <c r="I61" s="51"/>
      <c r="J61" s="53"/>
    </row>
    <row r="62" spans="1:10" ht="24" customHeight="1" x14ac:dyDescent="0.3">
      <c r="A62" s="54">
        <v>59</v>
      </c>
      <c r="B62" s="51"/>
      <c r="C62" s="51"/>
      <c r="D62" s="51"/>
      <c r="E62" s="51"/>
      <c r="F62" s="51"/>
      <c r="G62" s="51"/>
      <c r="H62" s="51"/>
      <c r="I62" s="51"/>
      <c r="J62" s="53"/>
    </row>
    <row r="63" spans="1:10" ht="24" customHeight="1" x14ac:dyDescent="0.3">
      <c r="A63" s="55">
        <v>60</v>
      </c>
      <c r="B63" s="51"/>
      <c r="C63" s="51"/>
      <c r="D63" s="51"/>
      <c r="E63" s="51"/>
      <c r="F63" s="51"/>
      <c r="G63" s="51"/>
      <c r="H63" s="51"/>
      <c r="I63" s="51"/>
      <c r="J63" s="53"/>
    </row>
    <row r="64" spans="1:10" ht="24" customHeight="1" x14ac:dyDescent="0.3">
      <c r="A64" s="54">
        <v>61</v>
      </c>
      <c r="B64" s="51"/>
      <c r="C64" s="51"/>
      <c r="D64" s="51"/>
      <c r="E64" s="51"/>
      <c r="F64" s="51"/>
      <c r="G64" s="51"/>
      <c r="H64" s="51"/>
      <c r="I64" s="51"/>
      <c r="J64" s="53"/>
    </row>
    <row r="65" spans="1:10" ht="24" customHeight="1" x14ac:dyDescent="0.3">
      <c r="A65" s="55">
        <v>62</v>
      </c>
      <c r="B65" s="51"/>
      <c r="C65" s="51"/>
      <c r="D65" s="51"/>
      <c r="E65" s="51"/>
      <c r="F65" s="51"/>
      <c r="G65" s="51"/>
      <c r="H65" s="51"/>
      <c r="I65" s="51"/>
      <c r="J65" s="53"/>
    </row>
    <row r="66" spans="1:10" ht="24" customHeight="1" x14ac:dyDescent="0.3">
      <c r="A66" s="54">
        <v>63</v>
      </c>
      <c r="B66" s="51"/>
      <c r="C66" s="51"/>
      <c r="D66" s="51"/>
      <c r="E66" s="51"/>
      <c r="F66" s="51"/>
      <c r="G66" s="51"/>
      <c r="H66" s="51"/>
      <c r="I66" s="51"/>
      <c r="J66" s="53"/>
    </row>
    <row r="67" spans="1:10" ht="24" customHeight="1" x14ac:dyDescent="0.3">
      <c r="A67" s="55">
        <v>64</v>
      </c>
      <c r="B67" s="51"/>
      <c r="C67" s="51"/>
      <c r="D67" s="51"/>
      <c r="E67" s="51"/>
      <c r="F67" s="51"/>
      <c r="G67" s="51"/>
      <c r="H67" s="51"/>
      <c r="I67" s="51"/>
      <c r="J67" s="53"/>
    </row>
    <row r="68" spans="1:10" ht="24" customHeight="1" x14ac:dyDescent="0.3">
      <c r="A68" s="54">
        <v>65</v>
      </c>
      <c r="B68" s="51"/>
      <c r="C68" s="51"/>
      <c r="D68" s="51"/>
      <c r="E68" s="51"/>
      <c r="F68" s="51"/>
      <c r="G68" s="51"/>
      <c r="H68" s="51"/>
      <c r="I68" s="51"/>
      <c r="J68" s="53"/>
    </row>
    <row r="69" spans="1:10" ht="24" customHeight="1" x14ac:dyDescent="0.3">
      <c r="A69" s="55">
        <v>66</v>
      </c>
      <c r="B69" s="51"/>
      <c r="C69" s="51"/>
      <c r="D69" s="51"/>
      <c r="E69" s="51"/>
      <c r="F69" s="51"/>
      <c r="G69" s="51"/>
      <c r="H69" s="51"/>
      <c r="I69" s="51"/>
      <c r="J69" s="53"/>
    </row>
    <row r="70" spans="1:10" ht="24" customHeight="1" x14ac:dyDescent="0.3">
      <c r="A70" s="54">
        <v>67</v>
      </c>
      <c r="B70" s="51"/>
      <c r="C70" s="51"/>
      <c r="D70" s="51"/>
      <c r="E70" s="51"/>
      <c r="F70" s="51"/>
      <c r="G70" s="51"/>
      <c r="H70" s="51"/>
      <c r="I70" s="51"/>
      <c r="J70" s="53"/>
    </row>
    <row r="71" spans="1:10" ht="24" customHeight="1" x14ac:dyDescent="0.3">
      <c r="A71" s="55">
        <v>68</v>
      </c>
      <c r="B71" s="51"/>
      <c r="C71" s="51"/>
      <c r="D71" s="51"/>
      <c r="E71" s="51"/>
      <c r="F71" s="51"/>
      <c r="G71" s="51"/>
      <c r="H71" s="51"/>
      <c r="I71" s="51"/>
      <c r="J71" s="53"/>
    </row>
    <row r="72" spans="1:10" ht="24" customHeight="1" x14ac:dyDescent="0.3">
      <c r="A72" s="54">
        <v>69</v>
      </c>
      <c r="B72" s="51"/>
      <c r="C72" s="51"/>
      <c r="D72" s="51"/>
      <c r="E72" s="51"/>
      <c r="F72" s="51"/>
      <c r="G72" s="51"/>
      <c r="H72" s="51"/>
      <c r="I72" s="51"/>
      <c r="J72" s="53"/>
    </row>
    <row r="73" spans="1:10" ht="24" customHeight="1" x14ac:dyDescent="0.3">
      <c r="A73" s="55">
        <v>70</v>
      </c>
      <c r="B73" s="51"/>
      <c r="C73" s="51"/>
      <c r="D73" s="51"/>
      <c r="E73" s="51"/>
      <c r="F73" s="51"/>
      <c r="G73" s="51"/>
      <c r="H73" s="51"/>
      <c r="I73" s="51"/>
      <c r="J73" s="53"/>
    </row>
    <row r="74" spans="1:10" ht="24" customHeight="1" x14ac:dyDescent="0.3">
      <c r="A74" s="54">
        <v>71</v>
      </c>
      <c r="B74" s="51"/>
      <c r="C74" s="51"/>
      <c r="D74" s="51"/>
      <c r="E74" s="51"/>
      <c r="F74" s="51"/>
      <c r="G74" s="51"/>
      <c r="H74" s="51"/>
      <c r="I74" s="51"/>
      <c r="J74" s="53"/>
    </row>
    <row r="75" spans="1:10" ht="24" customHeight="1" x14ac:dyDescent="0.3">
      <c r="A75" s="55">
        <v>72</v>
      </c>
      <c r="B75" s="51"/>
      <c r="C75" s="51"/>
      <c r="D75" s="51"/>
      <c r="E75" s="51"/>
      <c r="F75" s="51"/>
      <c r="G75" s="51"/>
      <c r="H75" s="51"/>
      <c r="I75" s="51"/>
      <c r="J75" s="53"/>
    </row>
    <row r="76" spans="1:10" ht="24" customHeight="1" x14ac:dyDescent="0.3">
      <c r="A76" s="54">
        <v>73</v>
      </c>
      <c r="B76" s="51"/>
      <c r="C76" s="51"/>
      <c r="D76" s="51"/>
      <c r="E76" s="51"/>
      <c r="F76" s="51"/>
      <c r="G76" s="51"/>
      <c r="H76" s="51"/>
      <c r="I76" s="51"/>
      <c r="J76" s="53"/>
    </row>
    <row r="77" spans="1:10" ht="24" customHeight="1" x14ac:dyDescent="0.3">
      <c r="A77" s="55">
        <v>74</v>
      </c>
      <c r="B77" s="51"/>
      <c r="C77" s="51"/>
      <c r="D77" s="51"/>
      <c r="E77" s="51"/>
      <c r="F77" s="51"/>
      <c r="G77" s="51"/>
      <c r="H77" s="51"/>
      <c r="I77" s="51"/>
      <c r="J77" s="53"/>
    </row>
    <row r="78" spans="1:10" x14ac:dyDescent="0.3">
      <c r="A78" s="54">
        <v>75</v>
      </c>
      <c r="B78" s="51"/>
      <c r="C78" s="51"/>
      <c r="D78" s="51"/>
      <c r="E78" s="51"/>
      <c r="F78" s="51"/>
      <c r="G78" s="51"/>
      <c r="H78" s="51"/>
      <c r="I78" s="51"/>
      <c r="J78" s="53"/>
    </row>
    <row r="79" spans="1:10" x14ac:dyDescent="0.3">
      <c r="A79" s="55">
        <v>76</v>
      </c>
      <c r="B79" s="51"/>
      <c r="C79" s="51"/>
      <c r="D79" s="51"/>
      <c r="E79" s="51"/>
      <c r="F79" s="51"/>
      <c r="G79" s="51"/>
      <c r="H79" s="51"/>
      <c r="I79" s="51"/>
      <c r="J79" s="53"/>
    </row>
    <row r="80" spans="1:10" x14ac:dyDescent="0.3">
      <c r="A80" s="54">
        <v>77</v>
      </c>
      <c r="B80" s="51"/>
      <c r="C80" s="51"/>
      <c r="D80" s="51"/>
      <c r="E80" s="51"/>
      <c r="F80" s="51"/>
      <c r="G80" s="51"/>
      <c r="H80" s="51"/>
      <c r="I80" s="51"/>
      <c r="J80" s="53"/>
    </row>
    <row r="81" spans="1:10" x14ac:dyDescent="0.3">
      <c r="A81" s="55">
        <v>78</v>
      </c>
      <c r="B81" s="51"/>
      <c r="C81" s="51"/>
      <c r="D81" s="51"/>
      <c r="E81" s="51"/>
      <c r="F81" s="51"/>
      <c r="G81" s="51"/>
      <c r="H81" s="51"/>
      <c r="I81" s="51"/>
      <c r="J81" s="53"/>
    </row>
    <row r="82" spans="1:10" x14ac:dyDescent="0.3">
      <c r="A82" s="54">
        <v>79</v>
      </c>
      <c r="B82" s="51"/>
      <c r="C82" s="51"/>
      <c r="D82" s="51"/>
      <c r="E82" s="51"/>
      <c r="F82" s="51"/>
      <c r="G82" s="51"/>
      <c r="H82" s="51"/>
      <c r="I82" s="51"/>
      <c r="J82" s="53"/>
    </row>
    <row r="83" spans="1:10" x14ac:dyDescent="0.3">
      <c r="A83" s="55">
        <v>80</v>
      </c>
      <c r="B83" s="51"/>
      <c r="C83" s="51"/>
      <c r="D83" s="51"/>
      <c r="E83" s="51"/>
      <c r="F83" s="51"/>
      <c r="G83" s="51"/>
      <c r="H83" s="51"/>
      <c r="I83" s="51"/>
      <c r="J83" s="53"/>
    </row>
    <row r="84" spans="1:10" x14ac:dyDescent="0.3">
      <c r="A84" s="54">
        <v>81</v>
      </c>
      <c r="B84" s="51"/>
      <c r="C84" s="51"/>
      <c r="D84" s="51"/>
      <c r="E84" s="51"/>
      <c r="F84" s="51"/>
      <c r="G84" s="51"/>
      <c r="H84" s="51"/>
      <c r="I84" s="51"/>
      <c r="J84" s="53"/>
    </row>
    <row r="85" spans="1:10" x14ac:dyDescent="0.3">
      <c r="A85" s="55">
        <v>82</v>
      </c>
      <c r="B85" s="51"/>
      <c r="C85" s="51"/>
      <c r="D85" s="51"/>
      <c r="E85" s="51"/>
      <c r="F85" s="51"/>
      <c r="G85" s="51"/>
      <c r="H85" s="51"/>
      <c r="I85" s="51"/>
      <c r="J85" s="53"/>
    </row>
    <row r="86" spans="1:10" x14ac:dyDescent="0.3">
      <c r="A86" s="54">
        <v>83</v>
      </c>
      <c r="B86" s="51"/>
      <c r="C86" s="51"/>
      <c r="D86" s="51"/>
      <c r="E86" s="51"/>
      <c r="F86" s="51"/>
      <c r="G86" s="51"/>
      <c r="H86" s="51"/>
      <c r="I86" s="51"/>
      <c r="J86" s="53"/>
    </row>
    <row r="87" spans="1:10" x14ac:dyDescent="0.3">
      <c r="A87" s="55">
        <v>84</v>
      </c>
      <c r="B87" s="51"/>
      <c r="C87" s="51"/>
      <c r="D87" s="51"/>
      <c r="E87" s="51"/>
      <c r="F87" s="51"/>
      <c r="G87" s="51"/>
      <c r="H87" s="51"/>
      <c r="I87" s="51"/>
      <c r="J87" s="53"/>
    </row>
    <row r="88" spans="1:10" x14ac:dyDescent="0.3">
      <c r="A88" s="54">
        <v>85</v>
      </c>
      <c r="B88" s="51"/>
      <c r="C88" s="51"/>
      <c r="D88" s="51"/>
      <c r="E88" s="51"/>
      <c r="F88" s="51"/>
      <c r="G88" s="51"/>
      <c r="H88" s="51"/>
      <c r="I88" s="51"/>
      <c r="J88" s="53"/>
    </row>
    <row r="89" spans="1:10" x14ac:dyDescent="0.3">
      <c r="A89" s="55">
        <v>86</v>
      </c>
      <c r="B89" s="51"/>
      <c r="C89" s="51"/>
      <c r="D89" s="51"/>
      <c r="E89" s="51"/>
      <c r="F89" s="51"/>
      <c r="G89" s="51"/>
      <c r="H89" s="51"/>
      <c r="I89" s="51"/>
      <c r="J89" s="53"/>
    </row>
    <row r="90" spans="1:10" x14ac:dyDescent="0.3">
      <c r="A90" s="54">
        <v>87</v>
      </c>
      <c r="B90" s="51"/>
      <c r="C90" s="51"/>
      <c r="D90" s="51"/>
      <c r="E90" s="51"/>
      <c r="F90" s="51"/>
      <c r="G90" s="51"/>
      <c r="H90" s="51"/>
      <c r="I90" s="51"/>
      <c r="J90" s="53"/>
    </row>
    <row r="91" spans="1:10" x14ac:dyDescent="0.3">
      <c r="A91" s="55">
        <v>88</v>
      </c>
      <c r="B91" s="51"/>
      <c r="C91" s="51"/>
      <c r="D91" s="51"/>
      <c r="E91" s="51"/>
      <c r="F91" s="51"/>
      <c r="G91" s="51"/>
      <c r="H91" s="51"/>
      <c r="I91" s="51"/>
      <c r="J91" s="53"/>
    </row>
    <row r="92" spans="1:10" x14ac:dyDescent="0.3">
      <c r="A92" s="54">
        <v>89</v>
      </c>
      <c r="B92" s="51"/>
      <c r="C92" s="51"/>
      <c r="D92" s="51"/>
      <c r="E92" s="51"/>
      <c r="F92" s="51"/>
      <c r="G92" s="51"/>
      <c r="H92" s="51"/>
      <c r="I92" s="51"/>
      <c r="J92" s="53"/>
    </row>
    <row r="93" spans="1:10" x14ac:dyDescent="0.3">
      <c r="A93" s="55">
        <v>90</v>
      </c>
      <c r="B93" s="51"/>
      <c r="C93" s="51"/>
      <c r="D93" s="51"/>
      <c r="E93" s="51"/>
      <c r="F93" s="51"/>
      <c r="G93" s="51"/>
      <c r="H93" s="51"/>
      <c r="I93" s="51"/>
      <c r="J93" s="53"/>
    </row>
    <row r="94" spans="1:10" x14ac:dyDescent="0.3">
      <c r="A94" s="54">
        <v>91</v>
      </c>
      <c r="B94" s="51"/>
      <c r="C94" s="51"/>
      <c r="D94" s="51"/>
      <c r="E94" s="51"/>
      <c r="F94" s="51"/>
      <c r="G94" s="51"/>
      <c r="H94" s="51"/>
      <c r="I94" s="51"/>
      <c r="J94" s="53"/>
    </row>
    <row r="95" spans="1:10" x14ac:dyDescent="0.3">
      <c r="A95" s="55">
        <v>92</v>
      </c>
      <c r="B95" s="51"/>
      <c r="C95" s="51"/>
      <c r="D95" s="51"/>
      <c r="E95" s="51"/>
      <c r="F95" s="51"/>
      <c r="G95" s="51"/>
      <c r="H95" s="51"/>
      <c r="I95" s="51"/>
      <c r="J95" s="53"/>
    </row>
    <row r="96" spans="1:10" x14ac:dyDescent="0.3">
      <c r="A96" s="54">
        <v>93</v>
      </c>
      <c r="B96" s="51"/>
      <c r="C96" s="51"/>
      <c r="D96" s="51"/>
      <c r="E96" s="51"/>
      <c r="F96" s="51"/>
      <c r="G96" s="51"/>
      <c r="H96" s="51"/>
      <c r="I96" s="51"/>
      <c r="J96" s="53"/>
    </row>
    <row r="97" spans="1:10" x14ac:dyDescent="0.3">
      <c r="A97" s="55">
        <v>94</v>
      </c>
      <c r="B97" s="51"/>
      <c r="C97" s="51"/>
      <c r="D97" s="51"/>
      <c r="E97" s="51"/>
      <c r="F97" s="51"/>
      <c r="G97" s="51"/>
      <c r="H97" s="51"/>
      <c r="I97" s="51"/>
      <c r="J97" s="53"/>
    </row>
    <row r="98" spans="1:10" x14ac:dyDescent="0.3">
      <c r="A98" s="54">
        <v>95</v>
      </c>
      <c r="B98" s="51"/>
      <c r="C98" s="51"/>
      <c r="D98" s="51"/>
      <c r="E98" s="51"/>
      <c r="F98" s="51"/>
      <c r="G98" s="51"/>
      <c r="H98" s="51"/>
      <c r="I98" s="51"/>
      <c r="J98" s="53"/>
    </row>
    <row r="99" spans="1:10" x14ac:dyDescent="0.3">
      <c r="A99" s="55">
        <v>96</v>
      </c>
      <c r="B99" s="51"/>
      <c r="C99" s="51"/>
      <c r="D99" s="51"/>
      <c r="E99" s="51"/>
      <c r="F99" s="51"/>
      <c r="G99" s="51"/>
      <c r="H99" s="51"/>
      <c r="I99" s="51"/>
      <c r="J99" s="53"/>
    </row>
    <row r="100" spans="1:10" x14ac:dyDescent="0.3">
      <c r="A100" s="54">
        <v>97</v>
      </c>
      <c r="B100" s="51"/>
      <c r="C100" s="51"/>
      <c r="D100" s="51"/>
      <c r="E100" s="51"/>
      <c r="F100" s="51"/>
      <c r="G100" s="51"/>
      <c r="H100" s="51"/>
      <c r="I100" s="51"/>
      <c r="J100" s="53"/>
    </row>
    <row r="101" spans="1:10" x14ac:dyDescent="0.3">
      <c r="A101" s="51"/>
      <c r="B101" s="51"/>
      <c r="C101" s="51"/>
      <c r="D101" s="51"/>
      <c r="E101" s="51"/>
      <c r="F101" s="51"/>
      <c r="G101" s="51"/>
      <c r="H101" s="51"/>
      <c r="I101" s="51"/>
      <c r="J101" s="53"/>
    </row>
    <row r="102" spans="1:10" x14ac:dyDescent="0.3">
      <c r="A102" s="51"/>
      <c r="B102" s="51"/>
      <c r="C102" s="51"/>
      <c r="D102" s="51"/>
      <c r="E102" s="51"/>
      <c r="F102" s="51"/>
      <c r="G102" s="51"/>
      <c r="H102" s="51"/>
      <c r="I102" s="51"/>
      <c r="J102" s="53"/>
    </row>
    <row r="103" spans="1:10" x14ac:dyDescent="0.3">
      <c r="A103" s="51"/>
      <c r="B103" s="51"/>
      <c r="C103" s="51"/>
      <c r="D103" s="51"/>
      <c r="E103" s="51"/>
      <c r="F103" s="51"/>
      <c r="G103" s="51"/>
      <c r="H103" s="51"/>
      <c r="I103" s="51"/>
      <c r="J103" s="53"/>
    </row>
    <row r="104" spans="1:10" x14ac:dyDescent="0.3">
      <c r="A104" s="51"/>
      <c r="B104" s="51"/>
      <c r="C104" s="51"/>
      <c r="D104" s="51"/>
      <c r="E104" s="51"/>
      <c r="F104" s="51"/>
      <c r="G104" s="51"/>
      <c r="H104" s="51"/>
      <c r="I104" s="51"/>
      <c r="J104" s="53"/>
    </row>
    <row r="105" spans="1:10" x14ac:dyDescent="0.3">
      <c r="A105" s="51"/>
      <c r="B105" s="51"/>
      <c r="C105" s="51"/>
      <c r="D105" s="51"/>
      <c r="E105" s="51"/>
      <c r="F105" s="51"/>
      <c r="G105" s="51"/>
      <c r="H105" s="51"/>
      <c r="I105" s="51"/>
      <c r="J105" s="53"/>
    </row>
    <row r="106" spans="1:10" x14ac:dyDescent="0.3">
      <c r="A106" s="52"/>
      <c r="B106" s="52"/>
      <c r="C106" s="52"/>
      <c r="D106" s="52"/>
      <c r="E106" s="52"/>
      <c r="F106" s="52"/>
      <c r="G106" s="52"/>
      <c r="H106" s="52"/>
      <c r="I106" s="52"/>
      <c r="J106" s="53"/>
    </row>
  </sheetData>
  <mergeCells count="1">
    <mergeCell ref="A1:I1"/>
  </mergeCells>
  <phoneticPr fontId="5" type="noConversion"/>
  <printOptions horizontalCentered="1" verticalCentered="1"/>
  <pageMargins left="0.45" right="0.2" top="0.5" bottom="0.2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O28"/>
  <sheetViews>
    <sheetView view="pageBreakPreview" zoomScaleNormal="100" zoomScaleSheetLayoutView="100" workbookViewId="0">
      <pane ySplit="2" topLeftCell="A12" activePane="bottomLeft" state="frozen"/>
      <selection pane="bottomLeft" activeCell="G23" sqref="G23"/>
    </sheetView>
  </sheetViews>
  <sheetFormatPr defaultRowHeight="18.75" x14ac:dyDescent="0.3"/>
  <cols>
    <col min="1" max="1" width="9.140625" style="1"/>
    <col min="2" max="2" width="24.5703125" style="1" customWidth="1"/>
    <col min="3" max="3" width="20.85546875" style="1" customWidth="1"/>
    <col min="4" max="4" width="20.85546875" style="1" bestFit="1" customWidth="1"/>
    <col min="5" max="5" width="18.42578125" style="1" customWidth="1"/>
    <col min="6" max="6" width="20.5703125" style="1" customWidth="1"/>
    <col min="7" max="7" width="22.85546875" style="1" customWidth="1"/>
    <col min="8" max="16384" width="9.140625" style="1"/>
  </cols>
  <sheetData>
    <row r="1" spans="1:15" ht="11.25" customHeight="1" x14ac:dyDescent="0.3"/>
    <row r="2" spans="1:15" ht="22.5" x14ac:dyDescent="0.3">
      <c r="A2" s="150" t="s">
        <v>0</v>
      </c>
      <c r="B2" s="150"/>
      <c r="C2" s="150"/>
      <c r="D2" s="150"/>
      <c r="E2" s="150"/>
      <c r="F2" s="150"/>
      <c r="G2" s="150"/>
    </row>
    <row r="3" spans="1:15" ht="9" customHeight="1" x14ac:dyDescent="0.3"/>
    <row r="4" spans="1:15" s="11" customFormat="1" ht="16.5" x14ac:dyDescent="0.25">
      <c r="A4" s="154" t="s">
        <v>10</v>
      </c>
      <c r="B4" s="154"/>
      <c r="C4" s="137"/>
      <c r="F4" s="3" t="str">
        <f>LEFT(C4,15)</f>
        <v/>
      </c>
    </row>
    <row r="5" spans="1:15" s="11" customFormat="1" ht="16.5" x14ac:dyDescent="0.25">
      <c r="A5" s="155" t="s">
        <v>1</v>
      </c>
      <c r="B5" s="155"/>
      <c r="C5" s="15" t="s">
        <v>141</v>
      </c>
      <c r="D5" s="3" t="str">
        <f>UPPER(C5)</f>
        <v>NGUYỄN VĂN TÙNG</v>
      </c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s="11" customFormat="1" ht="16.5" x14ac:dyDescent="0.25"/>
    <row r="7" spans="1:15" s="11" customFormat="1" ht="16.5" x14ac:dyDescent="0.25">
      <c r="B7" s="16" t="s">
        <v>163</v>
      </c>
      <c r="C7" s="136" t="str">
        <f>PROPER(B7)</f>
        <v>Nguyễn Trung Hiếu</v>
      </c>
      <c r="D7" s="38" t="str">
        <f>PROPER(C7)</f>
        <v>Nguyễn Trung Hiếu</v>
      </c>
      <c r="E7" s="16"/>
      <c r="F7" s="16"/>
      <c r="G7" s="16"/>
    </row>
    <row r="8" spans="1:15" s="11" customFormat="1" ht="16.5" x14ac:dyDescent="0.25">
      <c r="B8" s="16" t="s">
        <v>2</v>
      </c>
      <c r="C8" s="70" t="s">
        <v>160</v>
      </c>
      <c r="D8" s="16"/>
      <c r="E8" s="16"/>
      <c r="F8" s="16"/>
      <c r="G8" s="16"/>
    </row>
    <row r="9" spans="1:15" s="11" customFormat="1" ht="16.5" x14ac:dyDescent="0.25">
      <c r="B9" s="16" t="s">
        <v>21</v>
      </c>
      <c r="C9" s="125" t="s">
        <v>164</v>
      </c>
      <c r="D9" s="17" t="s">
        <v>20</v>
      </c>
      <c r="E9" s="18" t="s">
        <v>169</v>
      </c>
      <c r="F9" s="16" t="s">
        <v>8</v>
      </c>
      <c r="G9" s="66"/>
    </row>
    <row r="10" spans="1:15" s="11" customFormat="1" ht="16.5" x14ac:dyDescent="0.25">
      <c r="B10" s="16" t="s">
        <v>3</v>
      </c>
      <c r="C10" s="18"/>
      <c r="D10" s="16"/>
      <c r="E10" s="120"/>
      <c r="F10" s="16"/>
      <c r="G10" s="16"/>
    </row>
    <row r="11" spans="1:15" s="11" customFormat="1" ht="16.5" x14ac:dyDescent="0.25">
      <c r="B11" s="16" t="s">
        <v>165</v>
      </c>
      <c r="C11" s="18" t="str">
        <f>PROPER(B11)</f>
        <v>Nam Hồng , Nam Sách , Hải Dương</v>
      </c>
      <c r="D11" s="16"/>
      <c r="E11" s="132" t="s">
        <v>158</v>
      </c>
      <c r="F11" s="16"/>
      <c r="G11" s="16"/>
    </row>
    <row r="12" spans="1:15" s="11" customFormat="1" ht="16.5" x14ac:dyDescent="0.25">
      <c r="B12" s="16" t="s">
        <v>6</v>
      </c>
      <c r="C12" s="18" t="s">
        <v>166</v>
      </c>
      <c r="D12" s="17" t="s">
        <v>7</v>
      </c>
      <c r="E12" s="18" t="s">
        <v>149</v>
      </c>
      <c r="F12" s="17" t="s">
        <v>8</v>
      </c>
      <c r="G12" s="18" t="s">
        <v>104</v>
      </c>
    </row>
    <row r="13" spans="1:15" s="11" customFormat="1" ht="16.5" x14ac:dyDescent="0.25">
      <c r="B13" s="16" t="s">
        <v>5</v>
      </c>
      <c r="C13" s="18" t="s">
        <v>167</v>
      </c>
      <c r="D13" s="16"/>
      <c r="E13" s="16"/>
      <c r="F13" s="16"/>
      <c r="G13" s="16"/>
    </row>
    <row r="14" spans="1:15" s="11" customFormat="1" ht="16.5" x14ac:dyDescent="0.25">
      <c r="B14" s="16" t="s">
        <v>9</v>
      </c>
      <c r="C14" s="133" t="s">
        <v>168</v>
      </c>
      <c r="D14" s="16"/>
      <c r="E14" s="16"/>
      <c r="F14" s="16"/>
      <c r="G14" s="16"/>
    </row>
    <row r="15" spans="1:15" s="11" customFormat="1" ht="16.5" x14ac:dyDescent="0.25">
      <c r="B15" s="16" t="s">
        <v>84</v>
      </c>
      <c r="C15" s="133" t="s">
        <v>161</v>
      </c>
      <c r="D15" s="16"/>
      <c r="E15" s="16"/>
      <c r="F15" s="16"/>
      <c r="G15" s="16"/>
    </row>
    <row r="16" spans="1:15" s="11" customFormat="1" ht="16.5" x14ac:dyDescent="0.25">
      <c r="B16" s="16" t="s">
        <v>25</v>
      </c>
      <c r="C16" s="58"/>
      <c r="D16" s="16"/>
      <c r="E16" s="151" t="s">
        <v>29</v>
      </c>
      <c r="F16" s="152"/>
      <c r="G16" s="153"/>
    </row>
    <row r="17" spans="1:7" s="11" customFormat="1" ht="16.5" x14ac:dyDescent="0.25">
      <c r="B17" s="19"/>
      <c r="C17" s="36"/>
      <c r="D17" s="16"/>
      <c r="E17" s="67"/>
      <c r="F17" s="68"/>
      <c r="G17" s="69"/>
    </row>
    <row r="18" spans="1:7" s="11" customFormat="1" ht="16.5" x14ac:dyDescent="0.25">
      <c r="B18" s="19" t="s">
        <v>22</v>
      </c>
      <c r="C18" s="135" t="s">
        <v>170</v>
      </c>
      <c r="D18" s="16"/>
      <c r="E18" s="127"/>
      <c r="F18" s="128"/>
      <c r="G18" s="128"/>
    </row>
    <row r="19" spans="1:7" s="11" customFormat="1" ht="16.5" x14ac:dyDescent="0.25">
      <c r="B19" s="16"/>
      <c r="C19" s="20"/>
      <c r="D19" s="126"/>
      <c r="E19" s="129" t="s">
        <v>148</v>
      </c>
      <c r="F19" s="129" t="s">
        <v>146</v>
      </c>
      <c r="G19" s="129" t="s">
        <v>147</v>
      </c>
    </row>
    <row r="20" spans="1:7" s="11" customFormat="1" ht="16.5" x14ac:dyDescent="0.25">
      <c r="B20" s="16"/>
      <c r="C20" s="18"/>
      <c r="D20" s="126"/>
      <c r="E20" s="129">
        <v>92</v>
      </c>
      <c r="F20" s="134" t="s">
        <v>168</v>
      </c>
      <c r="G20" s="129" t="s">
        <v>162</v>
      </c>
    </row>
    <row r="21" spans="1:7" s="11" customFormat="1" ht="16.5" x14ac:dyDescent="0.25">
      <c r="B21" s="16"/>
      <c r="C21" s="18"/>
      <c r="D21" s="16"/>
      <c r="E21" s="129" t="s">
        <v>159</v>
      </c>
      <c r="F21" s="129" t="s">
        <v>146</v>
      </c>
      <c r="G21" s="129" t="s">
        <v>147</v>
      </c>
    </row>
    <row r="22" spans="1:7" x14ac:dyDescent="0.3">
      <c r="B22" s="7"/>
      <c r="C22" s="20"/>
      <c r="D22" s="5"/>
      <c r="E22" s="129"/>
      <c r="F22" s="134" t="s">
        <v>161</v>
      </c>
      <c r="G22" s="129"/>
    </row>
    <row r="23" spans="1:7" x14ac:dyDescent="0.3">
      <c r="B23" s="7"/>
      <c r="C23" s="6" t="s">
        <v>95</v>
      </c>
      <c r="D23" s="5"/>
      <c r="E23" s="5"/>
      <c r="F23" s="5"/>
      <c r="G23" s="5"/>
    </row>
    <row r="24" spans="1:7" s="11" customFormat="1" ht="18.75" customHeight="1" x14ac:dyDescent="0.25">
      <c r="A24" s="8"/>
      <c r="B24" s="9"/>
      <c r="C24" s="10"/>
      <c r="D24" s="10"/>
      <c r="E24" s="63"/>
      <c r="F24" s="35"/>
      <c r="G24" s="9"/>
    </row>
    <row r="25" spans="1:7" s="11" customFormat="1" ht="16.5" x14ac:dyDescent="0.25">
      <c r="A25" s="12"/>
      <c r="B25" s="13"/>
      <c r="C25" s="15" t="s">
        <v>15</v>
      </c>
      <c r="D25" s="14" t="s">
        <v>15</v>
      </c>
      <c r="E25" s="33" t="s">
        <v>89</v>
      </c>
      <c r="F25" s="34"/>
      <c r="G25" s="33"/>
    </row>
    <row r="26" spans="1:7" s="11" customFormat="1" ht="16.5" x14ac:dyDescent="0.25">
      <c r="A26" s="12"/>
      <c r="B26" s="13"/>
      <c r="C26" s="57" t="s">
        <v>139</v>
      </c>
      <c r="D26" s="13" t="s">
        <v>27</v>
      </c>
      <c r="E26" s="13" t="s">
        <v>13</v>
      </c>
      <c r="F26" s="35"/>
      <c r="G26" s="35"/>
    </row>
    <row r="27" spans="1:7" s="11" customFormat="1" ht="16.5" x14ac:dyDescent="0.25">
      <c r="A27" s="12"/>
      <c r="B27" s="13"/>
      <c r="C27" s="35" t="s">
        <v>14</v>
      </c>
      <c r="D27" s="35" t="s">
        <v>14</v>
      </c>
      <c r="E27" s="35" t="s">
        <v>14</v>
      </c>
      <c r="F27" s="64"/>
      <c r="G27" s="35"/>
    </row>
    <row r="28" spans="1:7" s="11" customFormat="1" ht="16.5" x14ac:dyDescent="0.25"/>
  </sheetData>
  <mergeCells count="4">
    <mergeCell ref="A2:G2"/>
    <mergeCell ref="E16:G16"/>
    <mergeCell ref="A4:B4"/>
    <mergeCell ref="A5:B5"/>
  </mergeCells>
  <printOptions horizontalCentered="1" verticalCentered="1"/>
  <pageMargins left="0" right="0" top="0.25" bottom="0.25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 tint="4.9989318521683403E-2"/>
  </sheetPr>
  <dimension ref="A3:P78"/>
  <sheetViews>
    <sheetView view="pageBreakPreview" zoomScaleNormal="100" zoomScaleSheetLayoutView="100" workbookViewId="0">
      <selection activeCell="E7" sqref="E7:J7"/>
    </sheetView>
  </sheetViews>
  <sheetFormatPr defaultRowHeight="18.75" x14ac:dyDescent="0.3"/>
  <cols>
    <col min="1" max="1" width="13.85546875" style="23" customWidth="1"/>
    <col min="2" max="2" width="3" style="23" customWidth="1"/>
    <col min="3" max="3" width="5.28515625" style="23" customWidth="1"/>
    <col min="4" max="4" width="11.42578125" style="23" customWidth="1"/>
    <col min="5" max="5" width="9.140625" style="23" customWidth="1"/>
    <col min="6" max="6" width="9.710937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85546875" style="23" customWidth="1"/>
    <col min="11" max="11" width="2.85546875" style="23" customWidth="1"/>
    <col min="12" max="16" width="9.140625" style="1"/>
    <col min="17" max="16384" width="9.140625" style="23"/>
  </cols>
  <sheetData>
    <row r="3" spans="1:16" ht="11.25" customHeight="1" x14ac:dyDescent="0.3"/>
    <row r="4" spans="1:16" ht="17.25" x14ac:dyDescent="0.25">
      <c r="A4" s="158" t="s">
        <v>30</v>
      </c>
      <c r="B4" s="158"/>
      <c r="C4" s="158"/>
      <c r="D4" s="158"/>
      <c r="E4" s="159" t="s">
        <v>16</v>
      </c>
      <c r="F4" s="159"/>
      <c r="G4" s="159"/>
      <c r="H4" s="159"/>
      <c r="I4" s="159"/>
      <c r="J4" s="159"/>
      <c r="L4" s="11"/>
      <c r="M4" s="11"/>
      <c r="N4" s="11"/>
      <c r="O4" s="11"/>
      <c r="P4" s="11"/>
    </row>
    <row r="5" spans="1:16" ht="17.25" x14ac:dyDescent="0.25">
      <c r="A5" s="160" t="s">
        <v>31</v>
      </c>
      <c r="B5" s="160"/>
      <c r="C5" s="160"/>
      <c r="D5" s="160"/>
      <c r="E5" s="159" t="s">
        <v>85</v>
      </c>
      <c r="F5" s="159"/>
      <c r="G5" s="159"/>
      <c r="H5" s="159"/>
      <c r="I5" s="159"/>
      <c r="J5" s="159"/>
      <c r="L5" s="3"/>
      <c r="M5" s="3"/>
      <c r="N5" s="3"/>
      <c r="O5" s="3"/>
      <c r="P5" s="3"/>
    </row>
    <row r="6" spans="1:16" x14ac:dyDescent="0.3">
      <c r="A6" s="161"/>
      <c r="B6" s="161"/>
      <c r="C6" s="161"/>
      <c r="D6" s="161"/>
      <c r="L6" s="11"/>
      <c r="M6" s="11"/>
      <c r="N6" s="11"/>
      <c r="O6" s="11"/>
      <c r="P6" s="11"/>
    </row>
    <row r="7" spans="1:16" x14ac:dyDescent="0.3">
      <c r="A7" s="156"/>
      <c r="B7" s="156"/>
      <c r="C7" s="156"/>
      <c r="D7" s="156"/>
      <c r="E7" s="157" t="str">
        <f ca="1">"Quảng Ninh, ngày "&amp;LEFT(TTCHUNG!C15,2)&amp;" tháng "&amp;MID(TTCHUNG!C15,4,2)&amp;" năm "&amp;YEAR(TODAY())</f>
        <v>Quảng Ninh, ngày  tháng  năm 2026</v>
      </c>
      <c r="F7" s="157"/>
      <c r="G7" s="157"/>
      <c r="H7" s="157"/>
      <c r="I7" s="157"/>
      <c r="J7" s="157"/>
      <c r="L7" s="11"/>
      <c r="M7" s="11"/>
      <c r="N7" s="11"/>
      <c r="O7" s="11"/>
      <c r="P7" s="11"/>
    </row>
    <row r="8" spans="1:16" x14ac:dyDescent="0.3">
      <c r="A8" s="39"/>
      <c r="B8" s="39"/>
      <c r="C8" s="39"/>
      <c r="D8" s="39"/>
      <c r="E8" s="40"/>
      <c r="F8" s="40"/>
      <c r="G8" s="40"/>
      <c r="H8" s="40"/>
      <c r="I8" s="40"/>
      <c r="J8" s="40"/>
      <c r="L8" s="11"/>
      <c r="M8" s="11"/>
      <c r="N8" s="11"/>
      <c r="O8" s="11"/>
      <c r="P8" s="11"/>
    </row>
    <row r="9" spans="1:16" x14ac:dyDescent="0.25">
      <c r="A9" s="162" t="s">
        <v>26</v>
      </c>
      <c r="B9" s="162"/>
      <c r="C9" s="162"/>
      <c r="D9" s="162"/>
      <c r="E9" s="162"/>
      <c r="F9" s="162"/>
      <c r="G9" s="162"/>
      <c r="H9" s="162"/>
      <c r="I9" s="162"/>
      <c r="J9" s="162"/>
      <c r="L9" s="11"/>
      <c r="M9" s="11"/>
      <c r="N9" s="11"/>
      <c r="O9" s="11"/>
      <c r="P9" s="11"/>
    </row>
    <row r="10" spans="1:16" ht="22.5" customHeight="1" x14ac:dyDescent="0.3">
      <c r="A10" s="21"/>
      <c r="B10" s="161" t="s">
        <v>55</v>
      </c>
      <c r="C10" s="161"/>
      <c r="D10" s="161"/>
      <c r="E10" s="161"/>
      <c r="F10" s="161"/>
      <c r="G10" s="161"/>
      <c r="H10" s="161"/>
      <c r="I10" s="161"/>
      <c r="J10" s="21"/>
      <c r="L10" s="11"/>
      <c r="M10" s="11"/>
      <c r="N10" s="11"/>
      <c r="O10" s="11"/>
      <c r="P10" s="11"/>
    </row>
    <row r="11" spans="1:1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L11" s="11"/>
      <c r="M11" s="11"/>
      <c r="N11" s="11"/>
      <c r="O11" s="11"/>
      <c r="P11" s="11"/>
    </row>
    <row r="12" spans="1:16" x14ac:dyDescent="0.3">
      <c r="A12" s="156" t="s">
        <v>86</v>
      </c>
      <c r="B12" s="161"/>
      <c r="C12" s="161"/>
      <c r="D12" s="161"/>
      <c r="E12" s="22"/>
      <c r="F12" s="21"/>
      <c r="G12" s="21"/>
      <c r="H12" s="21"/>
      <c r="I12" s="21"/>
      <c r="J12" s="21"/>
      <c r="L12" s="11"/>
      <c r="M12" s="11"/>
      <c r="N12" s="11"/>
      <c r="O12" s="11"/>
      <c r="P12" s="11"/>
    </row>
    <row r="13" spans="1:16" x14ac:dyDescent="0.3">
      <c r="A13" s="156" t="s">
        <v>36</v>
      </c>
      <c r="B13" s="156"/>
      <c r="C13" s="25" t="s">
        <v>80</v>
      </c>
      <c r="F13" s="30" t="s">
        <v>12</v>
      </c>
      <c r="G13" s="25" t="s">
        <v>87</v>
      </c>
      <c r="H13" s="25"/>
      <c r="I13" s="25"/>
      <c r="J13" s="25"/>
      <c r="L13" s="11"/>
      <c r="M13" s="11"/>
      <c r="N13" s="11"/>
      <c r="O13" s="11"/>
      <c r="P13" s="11"/>
    </row>
    <row r="14" spans="1:16" ht="36.75" customHeight="1" x14ac:dyDescent="0.25">
      <c r="A14" s="163" t="s">
        <v>74</v>
      </c>
      <c r="B14" s="163"/>
      <c r="C14" s="163"/>
      <c r="D14" s="163"/>
      <c r="E14" s="163"/>
      <c r="F14" s="163"/>
      <c r="G14" s="163"/>
      <c r="H14" s="163"/>
      <c r="I14" s="163"/>
      <c r="J14" s="163"/>
      <c r="L14" s="11"/>
      <c r="M14" s="11"/>
      <c r="N14" s="11"/>
      <c r="O14" s="11"/>
      <c r="P14" s="11"/>
    </row>
    <row r="15" spans="1:16" x14ac:dyDescent="0.25">
      <c r="A15" s="163" t="s">
        <v>75</v>
      </c>
      <c r="B15" s="163"/>
      <c r="C15" s="163"/>
      <c r="D15" s="163"/>
      <c r="E15" s="163"/>
      <c r="F15" s="163"/>
      <c r="G15" s="163"/>
      <c r="H15" s="163"/>
      <c r="I15" s="163"/>
      <c r="J15" s="163"/>
      <c r="L15" s="11"/>
      <c r="M15" s="11"/>
      <c r="N15" s="11"/>
      <c r="O15" s="11"/>
      <c r="P15" s="11"/>
    </row>
    <row r="16" spans="1:16" ht="39" customHeight="1" x14ac:dyDescent="0.25">
      <c r="A16" s="164" t="str">
        <f>"          - Căn cứ Quyết định tạm giữ số "&amp;TTCHUNG!E20&amp;" ngày "&amp;TTCHUNG!F20&amp;" của Cơ quan "&amp;TTCHUNG!G20&amp;" - Công an tỉnh Quảng Ninh;"</f>
        <v xml:space="preserve">          - Căn cứ Quyết định tạm giữ số 92 ngày 16/01/2025 của Cơ quan  Cơ quan CSĐT - Công an tỉnh Quảng Ninh;</v>
      </c>
      <c r="B16" s="164"/>
      <c r="C16" s="164"/>
      <c r="D16" s="164"/>
      <c r="E16" s="164"/>
      <c r="F16" s="164"/>
      <c r="G16" s="164"/>
      <c r="H16" s="164"/>
      <c r="I16" s="164"/>
      <c r="J16" s="164"/>
      <c r="L16" s="11"/>
      <c r="M16" s="11"/>
      <c r="N16" s="11"/>
      <c r="O16" s="11"/>
      <c r="P16" s="11"/>
    </row>
    <row r="17" spans="1:16" x14ac:dyDescent="0.25">
      <c r="A17" s="163" t="s">
        <v>76</v>
      </c>
      <c r="B17" s="163"/>
      <c r="C17" s="163"/>
      <c r="D17" s="163"/>
      <c r="E17" s="163"/>
      <c r="F17" s="163"/>
      <c r="G17" s="163"/>
      <c r="H17" s="163"/>
      <c r="I17" s="163"/>
      <c r="J17" s="163"/>
      <c r="L17" s="11"/>
      <c r="M17" s="11"/>
      <c r="N17" s="11"/>
      <c r="O17" s="11"/>
      <c r="P17" s="11"/>
    </row>
    <row r="18" spans="1:16" ht="38.25" customHeight="1" x14ac:dyDescent="0.25">
      <c r="A18" s="165" t="s">
        <v>26</v>
      </c>
      <c r="B18" s="162"/>
      <c r="C18" s="162"/>
      <c r="D18" s="162"/>
      <c r="E18" s="162"/>
      <c r="F18" s="162"/>
      <c r="G18" s="162"/>
      <c r="H18" s="162"/>
      <c r="I18" s="162"/>
      <c r="J18" s="162"/>
      <c r="L18" s="11"/>
      <c r="M18" s="11"/>
      <c r="N18" s="11"/>
      <c r="O18" s="11"/>
      <c r="P18" s="11"/>
    </row>
    <row r="19" spans="1:16" x14ac:dyDescent="0.25">
      <c r="A19" s="42" t="s">
        <v>37</v>
      </c>
      <c r="B19" s="42"/>
      <c r="C19" s="42"/>
      <c r="D19" s="42"/>
      <c r="E19" s="42"/>
      <c r="F19" s="42" t="str">
        <f>TTCHUNG!C25</f>
        <v>Trần Văn Dương</v>
      </c>
      <c r="G19" s="42"/>
      <c r="H19" s="42"/>
      <c r="I19" s="42"/>
      <c r="J19" s="42"/>
      <c r="L19" s="11"/>
      <c r="M19" s="11"/>
      <c r="N19" s="11"/>
      <c r="O19" s="11"/>
      <c r="P19" s="11"/>
    </row>
    <row r="20" spans="1:16" x14ac:dyDescent="0.3">
      <c r="A20" s="156" t="s">
        <v>35</v>
      </c>
      <c r="B20" s="156"/>
      <c r="C20" s="25" t="str">
        <f>TTCHUNG!C26</f>
        <v>Đại úy</v>
      </c>
      <c r="E20" s="44" t="s">
        <v>12</v>
      </c>
      <c r="F20" s="37" t="str">
        <f>TTCHUNG!D27</f>
        <v>Cán bộ</v>
      </c>
      <c r="H20" s="44" t="s">
        <v>32</v>
      </c>
      <c r="I20" s="79" t="s">
        <v>88</v>
      </c>
      <c r="J20" s="42"/>
      <c r="L20" s="11"/>
      <c r="M20" s="11"/>
      <c r="N20" s="11"/>
      <c r="O20" s="11"/>
      <c r="P20" s="11"/>
    </row>
    <row r="21" spans="1:16" x14ac:dyDescent="0.3">
      <c r="A21" s="30" t="s">
        <v>33</v>
      </c>
      <c r="B21" s="22" t="s">
        <v>81</v>
      </c>
      <c r="C21" s="43"/>
      <c r="E21" s="44"/>
      <c r="F21" s="37"/>
      <c r="H21" s="44"/>
      <c r="I21" s="37"/>
      <c r="J21" s="42"/>
      <c r="L21" s="11"/>
      <c r="M21" s="11"/>
      <c r="N21" s="11"/>
      <c r="O21" s="11"/>
      <c r="P21" s="11"/>
    </row>
    <row r="22" spans="1:16" x14ac:dyDescent="0.3">
      <c r="A22" s="156" t="s">
        <v>19</v>
      </c>
      <c r="B22" s="156"/>
      <c r="C22" s="156"/>
      <c r="D22" s="22" t="str">
        <f>TTCHUNG!D7</f>
        <v>Nguyễn Trung Hiếu</v>
      </c>
      <c r="G22" s="25"/>
      <c r="H22" s="168" t="s">
        <v>21</v>
      </c>
      <c r="I22" s="168"/>
      <c r="J22" s="65" t="str">
        <f>TTCHUNG!C9</f>
        <v xml:space="preserve">06/12/1987 </v>
      </c>
    </row>
    <row r="23" spans="1:16" x14ac:dyDescent="0.3">
      <c r="A23" s="156" t="s">
        <v>34</v>
      </c>
      <c r="B23" s="156"/>
      <c r="C23" s="156"/>
      <c r="D23" s="25" t="str">
        <f>TTCHUNG!C11</f>
        <v>Nam Hồng , Nam Sách , Hải Dương</v>
      </c>
      <c r="E23" s="25"/>
      <c r="F23" s="25"/>
      <c r="G23" s="25"/>
      <c r="H23" s="25"/>
      <c r="I23" s="25"/>
      <c r="J23" s="25"/>
    </row>
    <row r="24" spans="1:16" ht="19.5" x14ac:dyDescent="0.35">
      <c r="A24" s="45" t="s">
        <v>40</v>
      </c>
      <c r="B24" s="25"/>
      <c r="C24" s="25"/>
      <c r="D24" s="32" t="str">
        <f>TTCHUNG!C13</f>
        <v>Lừa đảo chiếm đoạt tài sản</v>
      </c>
      <c r="F24" s="25"/>
      <c r="G24" s="25"/>
      <c r="H24" s="25"/>
      <c r="I24" s="25"/>
      <c r="J24" s="25"/>
      <c r="L24" s="11"/>
      <c r="M24" s="11"/>
      <c r="N24" s="11"/>
      <c r="O24" s="11"/>
      <c r="P24" s="11"/>
    </row>
    <row r="25" spans="1:16" ht="19.5" customHeight="1" x14ac:dyDescent="0.3">
      <c r="A25" s="168" t="s">
        <v>56</v>
      </c>
      <c r="B25" s="168"/>
      <c r="C25" s="170" t="str">
        <f>TTCHUNG!C14</f>
        <v>16/01/2025</v>
      </c>
      <c r="D25" s="171"/>
      <c r="E25" s="171"/>
      <c r="F25" s="25"/>
      <c r="G25" s="25"/>
      <c r="H25" s="30"/>
      <c r="I25" s="30"/>
      <c r="J25" s="25"/>
      <c r="L25" s="11"/>
      <c r="M25" s="11"/>
      <c r="N25" s="11"/>
      <c r="O25" s="11"/>
      <c r="P25" s="11"/>
    </row>
    <row r="26" spans="1:16" x14ac:dyDescent="0.25">
      <c r="A26" s="42" t="s">
        <v>38</v>
      </c>
      <c r="B26" s="37"/>
      <c r="C26" s="37"/>
      <c r="D26" s="37"/>
      <c r="E26" s="166" t="str">
        <f>F19</f>
        <v>Trần Văn Dương</v>
      </c>
      <c r="F26" s="166"/>
      <c r="G26" s="37" t="s">
        <v>39</v>
      </c>
      <c r="H26" s="37"/>
      <c r="I26" s="37"/>
      <c r="J26" s="37"/>
      <c r="L26" s="11"/>
      <c r="M26" s="11"/>
      <c r="N26" s="11"/>
      <c r="O26" s="11"/>
      <c r="P26" s="11"/>
    </row>
    <row r="27" spans="1:16" s="46" customFormat="1" x14ac:dyDescent="0.3">
      <c r="A27" s="25" t="s">
        <v>42</v>
      </c>
      <c r="L27" s="11"/>
      <c r="M27" s="11"/>
      <c r="N27" s="11"/>
      <c r="O27" s="11"/>
      <c r="P27" s="11"/>
    </row>
    <row r="28" spans="1:16" s="46" customFormat="1" x14ac:dyDescent="0.3">
      <c r="A28" s="25"/>
      <c r="L28" s="11"/>
      <c r="M28" s="11"/>
      <c r="N28" s="11"/>
      <c r="O28" s="11"/>
      <c r="P28" s="11"/>
    </row>
    <row r="29" spans="1:16" x14ac:dyDescent="0.3">
      <c r="A29" s="169"/>
      <c r="B29" s="169"/>
      <c r="C29" s="169"/>
      <c r="D29" s="169"/>
      <c r="E29" s="169"/>
      <c r="F29" s="165" t="s">
        <v>41</v>
      </c>
      <c r="G29" s="165"/>
      <c r="H29" s="165"/>
      <c r="I29" s="165"/>
      <c r="J29" s="165"/>
    </row>
    <row r="30" spans="1:16" ht="18.75" customHeight="1" x14ac:dyDescent="0.3">
      <c r="A30" s="167"/>
      <c r="B30" s="167"/>
      <c r="C30" s="167"/>
      <c r="D30" s="167"/>
      <c r="E30" s="167"/>
      <c r="F30" s="167" t="s">
        <v>78</v>
      </c>
      <c r="G30" s="167"/>
      <c r="H30" s="167"/>
      <c r="I30" s="167"/>
      <c r="J30" s="167"/>
    </row>
    <row r="31" spans="1:16" x14ac:dyDescent="0.3">
      <c r="H31" s="27"/>
    </row>
    <row r="32" spans="1:16" x14ac:dyDescent="0.3">
      <c r="A32" s="24"/>
      <c r="H32" s="28"/>
    </row>
    <row r="33" spans="1:10" x14ac:dyDescent="0.3">
      <c r="A33" s="24"/>
      <c r="H33" s="28"/>
    </row>
    <row r="34" spans="1:10" x14ac:dyDescent="0.3">
      <c r="H34" s="28"/>
    </row>
    <row r="35" spans="1:10" x14ac:dyDescent="0.3">
      <c r="H35" s="26"/>
    </row>
    <row r="36" spans="1:10" x14ac:dyDescent="0.3">
      <c r="A36" s="29"/>
      <c r="F36" s="161" t="s">
        <v>91</v>
      </c>
      <c r="G36" s="161"/>
      <c r="H36" s="161"/>
      <c r="I36" s="161"/>
      <c r="J36" s="161"/>
    </row>
    <row r="40" spans="1:10" ht="13.5" customHeight="1" x14ac:dyDescent="0.3"/>
    <row r="43" spans="1:10" ht="18.75" customHeight="1" x14ac:dyDescent="0.3">
      <c r="A43" s="165" t="s">
        <v>43</v>
      </c>
      <c r="B43" s="165"/>
      <c r="C43" s="165"/>
      <c r="D43" s="165"/>
      <c r="E43" s="165"/>
      <c r="F43" s="165"/>
      <c r="G43" s="165"/>
      <c r="H43" s="165"/>
      <c r="I43" s="165"/>
      <c r="J43" s="165"/>
    </row>
    <row r="45" spans="1:10" x14ac:dyDescent="0.3">
      <c r="A45" s="161" t="s">
        <v>142</v>
      </c>
      <c r="B45" s="161"/>
      <c r="C45" s="161"/>
      <c r="D45" s="161"/>
      <c r="E45" s="161"/>
      <c r="F45" s="39" t="s">
        <v>11</v>
      </c>
      <c r="G45" s="171" t="s">
        <v>139</v>
      </c>
      <c r="H45" s="171"/>
      <c r="I45" s="21"/>
      <c r="J45" s="21"/>
    </row>
    <row r="46" spans="1:10" x14ac:dyDescent="0.3">
      <c r="A46" s="156" t="s">
        <v>44</v>
      </c>
      <c r="B46" s="156"/>
      <c r="C46" s="156"/>
      <c r="D46" s="25" t="s">
        <v>14</v>
      </c>
    </row>
    <row r="47" spans="1:10" x14ac:dyDescent="0.3">
      <c r="A47" s="156" t="s">
        <v>45</v>
      </c>
      <c r="B47" s="156"/>
      <c r="C47" s="156"/>
      <c r="D47" s="25" t="s">
        <v>92</v>
      </c>
    </row>
    <row r="48" spans="1:10" x14ac:dyDescent="0.3">
      <c r="A48" s="156" t="s">
        <v>77</v>
      </c>
      <c r="B48" s="156"/>
      <c r="C48" s="156"/>
      <c r="D48" s="156"/>
      <c r="E48" s="25" t="s">
        <v>47</v>
      </c>
    </row>
    <row r="49" spans="1:6" x14ac:dyDescent="0.3">
      <c r="A49" s="25" t="s">
        <v>46</v>
      </c>
      <c r="B49" s="25"/>
      <c r="C49" s="25"/>
      <c r="D49" s="25"/>
      <c r="E49" s="25"/>
    </row>
    <row r="50" spans="1:6" x14ac:dyDescent="0.3">
      <c r="A50" s="25" t="str">
        <f>"              ngày "&amp;LEFT(TTCHUNG!C15,2)&amp;" tháng "&amp;MID(TTCHUNG!C15,4,2)&amp;" năm 2026"</f>
        <v xml:space="preserve">              ngày  tháng  năm 2026</v>
      </c>
    </row>
    <row r="51" spans="1:6" x14ac:dyDescent="0.3">
      <c r="A51" s="22" t="s">
        <v>49</v>
      </c>
      <c r="E51" s="48">
        <f>TTCHUNG!C4</f>
        <v>0</v>
      </c>
    </row>
    <row r="52" spans="1:6" x14ac:dyDescent="0.3">
      <c r="A52" s="25" t="s">
        <v>50</v>
      </c>
    </row>
    <row r="53" spans="1:6" x14ac:dyDescent="0.3">
      <c r="A53" s="25" t="s">
        <v>52</v>
      </c>
    </row>
    <row r="54" spans="1:6" x14ac:dyDescent="0.3">
      <c r="A54" s="25" t="s">
        <v>51</v>
      </c>
      <c r="B54" s="49"/>
      <c r="F54" s="47"/>
    </row>
    <row r="55" spans="1:6" ht="21.95" customHeight="1" x14ac:dyDescent="0.3">
      <c r="A55" s="4" t="s">
        <v>137</v>
      </c>
    </row>
    <row r="56" spans="1:6" ht="21.95" customHeight="1" x14ac:dyDescent="0.3">
      <c r="A56" s="4" t="s">
        <v>138</v>
      </c>
    </row>
    <row r="57" spans="1:6" ht="21.95" customHeight="1" x14ac:dyDescent="0.3">
      <c r="A57" s="4" t="s">
        <v>53</v>
      </c>
    </row>
    <row r="58" spans="1:6" ht="21.95" customHeight="1" x14ac:dyDescent="0.3">
      <c r="A58" s="4" t="s">
        <v>53</v>
      </c>
    </row>
    <row r="59" spans="1:6" ht="21.95" customHeight="1" x14ac:dyDescent="0.3">
      <c r="A59" s="4" t="s">
        <v>53</v>
      </c>
    </row>
    <row r="60" spans="1:6" ht="21.95" customHeight="1" x14ac:dyDescent="0.3">
      <c r="A60" s="4" t="s">
        <v>53</v>
      </c>
    </row>
    <row r="61" spans="1:6" ht="21.95" customHeight="1" x14ac:dyDescent="0.3">
      <c r="A61" s="4" t="s">
        <v>53</v>
      </c>
    </row>
    <row r="62" spans="1:6" ht="21.95" customHeight="1" x14ac:dyDescent="0.3">
      <c r="A62" s="4" t="s">
        <v>53</v>
      </c>
    </row>
    <row r="63" spans="1:6" ht="21.95" customHeight="1" x14ac:dyDescent="0.3">
      <c r="A63" s="4" t="s">
        <v>53</v>
      </c>
    </row>
    <row r="64" spans="1:6" ht="21.95" customHeight="1" x14ac:dyDescent="0.3">
      <c r="A64" s="4" t="s">
        <v>53</v>
      </c>
    </row>
    <row r="65" spans="1:16" ht="21.95" customHeight="1" x14ac:dyDescent="0.3">
      <c r="A65" s="4" t="s">
        <v>53</v>
      </c>
    </row>
    <row r="66" spans="1:16" ht="21.95" customHeight="1" x14ac:dyDescent="0.3">
      <c r="A66" s="4" t="s">
        <v>53</v>
      </c>
    </row>
    <row r="67" spans="1:16" ht="21.95" customHeight="1" x14ac:dyDescent="0.3">
      <c r="A67" s="4" t="s">
        <v>53</v>
      </c>
    </row>
    <row r="69" spans="1:16" s="22" customFormat="1" x14ac:dyDescent="0.3">
      <c r="A69" s="161" t="s">
        <v>79</v>
      </c>
      <c r="B69" s="161"/>
      <c r="C69" s="161"/>
      <c r="D69" s="161"/>
      <c r="E69" s="161"/>
      <c r="F69" s="161" t="s">
        <v>54</v>
      </c>
      <c r="G69" s="161"/>
      <c r="H69" s="161"/>
      <c r="I69" s="161"/>
      <c r="J69" s="161"/>
      <c r="L69" s="1"/>
      <c r="M69" s="1"/>
      <c r="N69" s="1"/>
      <c r="O69" s="1"/>
      <c r="P69" s="1"/>
    </row>
    <row r="70" spans="1:16" s="50" customFormat="1" x14ac:dyDescent="0.3">
      <c r="A70" s="167" t="s">
        <v>78</v>
      </c>
      <c r="B70" s="167"/>
      <c r="C70" s="167"/>
      <c r="D70" s="167"/>
      <c r="E70" s="167"/>
      <c r="F70" s="172" t="s">
        <v>23</v>
      </c>
      <c r="G70" s="172"/>
      <c r="H70" s="172"/>
      <c r="I70" s="172"/>
      <c r="J70" s="172"/>
      <c r="L70" s="1"/>
      <c r="M70" s="1"/>
      <c r="N70" s="1"/>
      <c r="O70" s="1"/>
      <c r="P70" s="1"/>
    </row>
    <row r="71" spans="1:16" s="22" customFormat="1" x14ac:dyDescent="0.3">
      <c r="L71" s="1"/>
      <c r="M71" s="1"/>
      <c r="N71" s="1"/>
      <c r="O71" s="1"/>
      <c r="P71" s="1"/>
    </row>
    <row r="72" spans="1:16" s="22" customFormat="1" x14ac:dyDescent="0.3">
      <c r="L72" s="1"/>
      <c r="M72" s="1"/>
      <c r="N72" s="1"/>
      <c r="O72" s="1"/>
      <c r="P72" s="1"/>
    </row>
    <row r="73" spans="1:16" s="22" customFormat="1" x14ac:dyDescent="0.3">
      <c r="L73" s="1"/>
      <c r="M73" s="1"/>
      <c r="N73" s="1"/>
      <c r="O73" s="1"/>
      <c r="P73" s="1"/>
    </row>
    <row r="74" spans="1:16" s="22" customFormat="1" x14ac:dyDescent="0.3">
      <c r="L74" s="1"/>
      <c r="M74" s="1"/>
      <c r="N74" s="1"/>
      <c r="O74" s="1"/>
      <c r="P74" s="1"/>
    </row>
    <row r="75" spans="1:16" s="22" customFormat="1" x14ac:dyDescent="0.3">
      <c r="L75" s="1"/>
      <c r="M75" s="1"/>
      <c r="N75" s="1"/>
      <c r="O75" s="1"/>
      <c r="P75" s="1"/>
    </row>
    <row r="76" spans="1:16" s="22" customFormat="1" x14ac:dyDescent="0.3">
      <c r="L76" s="1"/>
      <c r="M76" s="1"/>
      <c r="N76" s="1"/>
      <c r="O76" s="1"/>
      <c r="P76" s="1"/>
    </row>
    <row r="77" spans="1:16" s="22" customFormat="1" x14ac:dyDescent="0.3">
      <c r="F77" s="161" t="s">
        <v>143</v>
      </c>
      <c r="G77" s="161"/>
      <c r="H77" s="161"/>
      <c r="I77" s="161"/>
      <c r="J77" s="161"/>
      <c r="L77" s="1"/>
      <c r="M77" s="1"/>
      <c r="N77" s="1"/>
      <c r="O77" s="1"/>
      <c r="P77" s="1"/>
    </row>
    <row r="78" spans="1:16" s="22" customFormat="1" x14ac:dyDescent="0.3">
      <c r="L78" s="1"/>
      <c r="M78" s="1"/>
      <c r="N78" s="1"/>
      <c r="O78" s="1"/>
      <c r="P78" s="1"/>
    </row>
  </sheetData>
  <mergeCells count="39">
    <mergeCell ref="F77:J77"/>
    <mergeCell ref="A69:E69"/>
    <mergeCell ref="F69:J69"/>
    <mergeCell ref="A70:E70"/>
    <mergeCell ref="F70:J70"/>
    <mergeCell ref="A48:D48"/>
    <mergeCell ref="A45:E45"/>
    <mergeCell ref="G45:H45"/>
    <mergeCell ref="A46:C46"/>
    <mergeCell ref="A47:C47"/>
    <mergeCell ref="A20:B20"/>
    <mergeCell ref="E26:F26"/>
    <mergeCell ref="F30:J30"/>
    <mergeCell ref="A43:J43"/>
    <mergeCell ref="A30:E30"/>
    <mergeCell ref="H22:I22"/>
    <mergeCell ref="A29:E29"/>
    <mergeCell ref="F29:J29"/>
    <mergeCell ref="A22:C22"/>
    <mergeCell ref="A23:C23"/>
    <mergeCell ref="A25:B25"/>
    <mergeCell ref="F36:J36"/>
    <mergeCell ref="C25:E25"/>
    <mergeCell ref="A9:J9"/>
    <mergeCell ref="A15:J15"/>
    <mergeCell ref="A16:J16"/>
    <mergeCell ref="A17:J17"/>
    <mergeCell ref="A18:J18"/>
    <mergeCell ref="A13:B13"/>
    <mergeCell ref="A14:J14"/>
    <mergeCell ref="A12:D12"/>
    <mergeCell ref="B10:I10"/>
    <mergeCell ref="A7:D7"/>
    <mergeCell ref="E7:J7"/>
    <mergeCell ref="A4:D4"/>
    <mergeCell ref="E4:J4"/>
    <mergeCell ref="A5:D5"/>
    <mergeCell ref="E5:J5"/>
    <mergeCell ref="A6:D6"/>
  </mergeCells>
  <printOptions horizontalCentered="1" verticalCentered="1"/>
  <pageMargins left="1.1811023622047245" right="0.78740157480314965" top="0.78740157480314965" bottom="0.78740157480314965" header="0.31496062992125984" footer="0.31496062992125984"/>
  <pageSetup paperSize="9" scale="84" orientation="portrait" r:id="rId1"/>
  <rowBreaks count="1" manualBreakCount="1">
    <brk id="41" max="10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3:P78"/>
  <sheetViews>
    <sheetView view="pageBreakPreview" topLeftCell="A3" zoomScaleNormal="100" zoomScaleSheetLayoutView="100" workbookViewId="0">
      <selection activeCell="E7" sqref="E7:J7"/>
    </sheetView>
  </sheetViews>
  <sheetFormatPr defaultRowHeight="18.75" x14ac:dyDescent="0.3"/>
  <cols>
    <col min="1" max="1" width="13.85546875" style="23" customWidth="1"/>
    <col min="2" max="2" width="3" style="23" customWidth="1"/>
    <col min="3" max="3" width="5.28515625" style="23" customWidth="1"/>
    <col min="4" max="4" width="11.42578125" style="23" customWidth="1"/>
    <col min="5" max="5" width="9.140625" style="23" customWidth="1"/>
    <col min="6" max="6" width="9.710937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85546875" style="23" customWidth="1"/>
    <col min="11" max="11" width="2.85546875" style="23" customWidth="1"/>
    <col min="12" max="16" width="9.140625" style="1"/>
    <col min="17" max="16384" width="9.140625" style="23"/>
  </cols>
  <sheetData>
    <row r="3" spans="1:16" ht="11.25" customHeight="1" x14ac:dyDescent="0.3"/>
    <row r="4" spans="1:16" ht="17.25" x14ac:dyDescent="0.25">
      <c r="A4" s="158" t="s">
        <v>30</v>
      </c>
      <c r="B4" s="158"/>
      <c r="C4" s="158"/>
      <c r="D4" s="158"/>
      <c r="E4" s="159" t="s">
        <v>16</v>
      </c>
      <c r="F4" s="159"/>
      <c r="G4" s="159"/>
      <c r="H4" s="159"/>
      <c r="I4" s="159"/>
      <c r="J4" s="159"/>
      <c r="L4" s="11"/>
      <c r="M4" s="11"/>
      <c r="N4" s="11"/>
      <c r="O4" s="11"/>
      <c r="P4" s="11"/>
    </row>
    <row r="5" spans="1:16" ht="17.25" x14ac:dyDescent="0.25">
      <c r="A5" s="160" t="s">
        <v>31</v>
      </c>
      <c r="B5" s="160"/>
      <c r="C5" s="160"/>
      <c r="D5" s="160"/>
      <c r="E5" s="159" t="s">
        <v>85</v>
      </c>
      <c r="F5" s="159"/>
      <c r="G5" s="159"/>
      <c r="H5" s="159"/>
      <c r="I5" s="159"/>
      <c r="J5" s="159"/>
      <c r="L5" s="3"/>
      <c r="M5" s="3"/>
      <c r="N5" s="3"/>
      <c r="O5" s="3"/>
      <c r="P5" s="3"/>
    </row>
    <row r="6" spans="1:16" x14ac:dyDescent="0.3">
      <c r="A6" s="161"/>
      <c r="B6" s="161"/>
      <c r="C6" s="161"/>
      <c r="D6" s="161"/>
      <c r="L6" s="11"/>
      <c r="M6" s="11"/>
      <c r="N6" s="11"/>
      <c r="O6" s="11"/>
      <c r="P6" s="11"/>
    </row>
    <row r="7" spans="1:16" x14ac:dyDescent="0.3">
      <c r="A7" s="156"/>
      <c r="B7" s="156"/>
      <c r="C7" s="156"/>
      <c r="D7" s="156"/>
      <c r="E7" s="157" t="str">
        <f ca="1">"Quảng Ninh, ngày        tháng       năm "&amp;YEAR(TODAY())</f>
        <v>Quảng Ninh, ngày        tháng       năm 2026</v>
      </c>
      <c r="F7" s="157"/>
      <c r="G7" s="157"/>
      <c r="H7" s="157"/>
      <c r="I7" s="157"/>
      <c r="J7" s="157"/>
      <c r="L7" s="11"/>
      <c r="M7" s="11"/>
      <c r="N7" s="11"/>
      <c r="O7" s="11"/>
      <c r="P7" s="11"/>
    </row>
    <row r="8" spans="1:16" x14ac:dyDescent="0.3">
      <c r="A8" s="71"/>
      <c r="B8" s="71"/>
      <c r="C8" s="71"/>
      <c r="D8" s="71"/>
      <c r="E8" s="72"/>
      <c r="F8" s="72"/>
      <c r="G8" s="72"/>
      <c r="H8" s="72"/>
      <c r="I8" s="72"/>
      <c r="J8" s="72"/>
      <c r="L8" s="11"/>
      <c r="M8" s="11"/>
      <c r="N8" s="11"/>
      <c r="O8" s="11"/>
      <c r="P8" s="11"/>
    </row>
    <row r="9" spans="1:16" x14ac:dyDescent="0.25">
      <c r="A9" s="162" t="s">
        <v>26</v>
      </c>
      <c r="B9" s="162"/>
      <c r="C9" s="162"/>
      <c r="D9" s="162"/>
      <c r="E9" s="162"/>
      <c r="F9" s="162"/>
      <c r="G9" s="162"/>
      <c r="H9" s="162"/>
      <c r="I9" s="162"/>
      <c r="J9" s="162"/>
      <c r="L9" s="11"/>
      <c r="M9" s="11"/>
      <c r="N9" s="11"/>
      <c r="O9" s="11"/>
      <c r="P9" s="11"/>
    </row>
    <row r="10" spans="1:16" ht="22.5" customHeight="1" x14ac:dyDescent="0.3">
      <c r="A10" s="73"/>
      <c r="B10" s="161" t="s">
        <v>93</v>
      </c>
      <c r="C10" s="161"/>
      <c r="D10" s="161"/>
      <c r="E10" s="161"/>
      <c r="F10" s="161"/>
      <c r="G10" s="161"/>
      <c r="H10" s="161"/>
      <c r="I10" s="161"/>
      <c r="J10" s="73"/>
      <c r="L10" s="11"/>
      <c r="M10" s="11"/>
      <c r="N10" s="11"/>
      <c r="O10" s="11"/>
      <c r="P10" s="11"/>
    </row>
    <row r="11" spans="1:16" x14ac:dyDescent="0.25">
      <c r="A11" s="74"/>
      <c r="B11" s="74"/>
      <c r="C11" s="74"/>
      <c r="D11" s="74"/>
      <c r="E11" s="74"/>
      <c r="F11" s="74"/>
      <c r="G11" s="74"/>
      <c r="H11" s="74"/>
      <c r="I11" s="74"/>
      <c r="J11" s="74"/>
      <c r="L11" s="11"/>
      <c r="M11" s="11"/>
      <c r="N11" s="11"/>
      <c r="O11" s="11"/>
      <c r="P11" s="11"/>
    </row>
    <row r="12" spans="1:16" x14ac:dyDescent="0.3">
      <c r="A12" s="156" t="s">
        <v>86</v>
      </c>
      <c r="B12" s="161"/>
      <c r="C12" s="161"/>
      <c r="D12" s="161"/>
      <c r="E12" s="22"/>
      <c r="F12" s="73"/>
      <c r="G12" s="73"/>
      <c r="H12" s="73"/>
      <c r="I12" s="73"/>
      <c r="J12" s="73"/>
      <c r="L12" s="11"/>
      <c r="M12" s="11"/>
      <c r="N12" s="11"/>
      <c r="O12" s="11"/>
      <c r="P12" s="11"/>
    </row>
    <row r="13" spans="1:16" x14ac:dyDescent="0.3">
      <c r="A13" s="156" t="s">
        <v>36</v>
      </c>
      <c r="B13" s="156"/>
      <c r="C13" s="25" t="s">
        <v>80</v>
      </c>
      <c r="F13" s="75" t="s">
        <v>12</v>
      </c>
      <c r="G13" s="25" t="s">
        <v>87</v>
      </c>
      <c r="H13" s="25"/>
      <c r="I13" s="25"/>
      <c r="J13" s="25"/>
      <c r="L13" s="11"/>
      <c r="M13" s="11"/>
      <c r="N13" s="11"/>
      <c r="O13" s="11"/>
      <c r="P13" s="11"/>
    </row>
    <row r="14" spans="1:16" ht="36.75" customHeight="1" x14ac:dyDescent="0.25">
      <c r="A14" s="163" t="s">
        <v>74</v>
      </c>
      <c r="B14" s="163"/>
      <c r="C14" s="163"/>
      <c r="D14" s="163"/>
      <c r="E14" s="163"/>
      <c r="F14" s="163"/>
      <c r="G14" s="163"/>
      <c r="H14" s="163"/>
      <c r="I14" s="163"/>
      <c r="J14" s="163"/>
      <c r="L14" s="11"/>
      <c r="M14" s="11"/>
      <c r="N14" s="11"/>
      <c r="O14" s="11"/>
      <c r="P14" s="11"/>
    </row>
    <row r="15" spans="1:16" x14ac:dyDescent="0.25">
      <c r="A15" s="163" t="s">
        <v>75</v>
      </c>
      <c r="B15" s="163"/>
      <c r="C15" s="163"/>
      <c r="D15" s="163"/>
      <c r="E15" s="163"/>
      <c r="F15" s="163"/>
      <c r="G15" s="163"/>
      <c r="H15" s="163"/>
      <c r="I15" s="163"/>
      <c r="J15" s="163"/>
      <c r="L15" s="11"/>
      <c r="M15" s="11"/>
      <c r="N15" s="11"/>
      <c r="O15" s="11"/>
      <c r="P15" s="11"/>
    </row>
    <row r="16" spans="1:16" ht="39" customHeight="1" x14ac:dyDescent="0.25">
      <c r="A16" s="164" t="str">
        <f>"          - Căn cứ Lệnh tạm giam số …………"&amp;" ngày ……….."&amp;" của Cơ quan "&amp;TTCHUNG!G20&amp;" - Công an tỉnh Quảng Ninh;"</f>
        <v xml:space="preserve">          - Căn cứ Lệnh tạm giam số ………… ngày ……….. của Cơ quan  Cơ quan CSĐT - Công an tỉnh Quảng Ninh;</v>
      </c>
      <c r="B16" s="164"/>
      <c r="C16" s="164"/>
      <c r="D16" s="164"/>
      <c r="E16" s="164"/>
      <c r="F16" s="164"/>
      <c r="G16" s="164"/>
      <c r="H16" s="164"/>
      <c r="I16" s="164"/>
      <c r="J16" s="164"/>
      <c r="L16" s="11"/>
      <c r="M16" s="11"/>
      <c r="N16" s="11"/>
      <c r="O16" s="11"/>
      <c r="P16" s="11"/>
    </row>
    <row r="17" spans="1:16" x14ac:dyDescent="0.25">
      <c r="A17" s="163" t="s">
        <v>76</v>
      </c>
      <c r="B17" s="163"/>
      <c r="C17" s="163"/>
      <c r="D17" s="163"/>
      <c r="E17" s="163"/>
      <c r="F17" s="163"/>
      <c r="G17" s="163"/>
      <c r="H17" s="163"/>
      <c r="I17" s="163"/>
      <c r="J17" s="163"/>
      <c r="L17" s="11"/>
      <c r="M17" s="11"/>
      <c r="N17" s="11"/>
      <c r="O17" s="11"/>
      <c r="P17" s="11"/>
    </row>
    <row r="18" spans="1:16" ht="38.25" customHeight="1" x14ac:dyDescent="0.25">
      <c r="A18" s="165" t="s">
        <v>26</v>
      </c>
      <c r="B18" s="162"/>
      <c r="C18" s="162"/>
      <c r="D18" s="162"/>
      <c r="E18" s="162"/>
      <c r="F18" s="162"/>
      <c r="G18" s="162"/>
      <c r="H18" s="162"/>
      <c r="I18" s="162"/>
      <c r="J18" s="162"/>
      <c r="L18" s="11"/>
      <c r="M18" s="11"/>
      <c r="N18" s="11"/>
      <c r="O18" s="11"/>
      <c r="P18" s="11"/>
    </row>
    <row r="19" spans="1:16" x14ac:dyDescent="0.25">
      <c r="A19" s="42" t="s">
        <v>37</v>
      </c>
      <c r="B19" s="42"/>
      <c r="C19" s="42"/>
      <c r="D19" s="42"/>
      <c r="E19" s="42"/>
      <c r="F19" s="42" t="str">
        <f>TTCHUNG!C25</f>
        <v>Trần Văn Dương</v>
      </c>
      <c r="G19" s="42"/>
      <c r="H19" s="42"/>
      <c r="I19" s="42"/>
      <c r="J19" s="42"/>
      <c r="L19" s="11"/>
      <c r="M19" s="11"/>
      <c r="N19" s="11"/>
      <c r="O19" s="11"/>
      <c r="P19" s="11"/>
    </row>
    <row r="20" spans="1:16" x14ac:dyDescent="0.3">
      <c r="A20" s="156" t="s">
        <v>35</v>
      </c>
      <c r="B20" s="156"/>
      <c r="C20" s="25" t="str">
        <f>TTCHUNG!C26</f>
        <v>Đại úy</v>
      </c>
      <c r="E20" s="44" t="s">
        <v>12</v>
      </c>
      <c r="F20" s="37" t="str">
        <f>TTCHUNG!D27</f>
        <v>Cán bộ</v>
      </c>
      <c r="H20" s="44" t="s">
        <v>32</v>
      </c>
      <c r="I20" s="79" t="s">
        <v>88</v>
      </c>
      <c r="J20" s="42"/>
      <c r="L20" s="11"/>
      <c r="M20" s="11"/>
      <c r="N20" s="11"/>
      <c r="O20" s="11"/>
      <c r="P20" s="11"/>
    </row>
    <row r="21" spans="1:16" x14ac:dyDescent="0.3">
      <c r="A21" s="75" t="s">
        <v>33</v>
      </c>
      <c r="B21" s="22" t="s">
        <v>82</v>
      </c>
      <c r="C21" s="43"/>
      <c r="E21" s="44"/>
      <c r="F21" s="37"/>
      <c r="H21" s="44"/>
      <c r="I21" s="37"/>
      <c r="J21" s="42"/>
      <c r="L21" s="11"/>
      <c r="M21" s="11"/>
      <c r="N21" s="11"/>
      <c r="O21" s="11"/>
      <c r="P21" s="11"/>
    </row>
    <row r="22" spans="1:16" x14ac:dyDescent="0.3">
      <c r="A22" s="156" t="s">
        <v>19</v>
      </c>
      <c r="B22" s="156"/>
      <c r="C22" s="156"/>
      <c r="D22" s="22" t="str">
        <f>TTCHUNG!D7</f>
        <v>Nguyễn Trung Hiếu</v>
      </c>
      <c r="G22" s="25"/>
      <c r="H22" s="168" t="s">
        <v>21</v>
      </c>
      <c r="I22" s="168"/>
      <c r="J22" s="65" t="str">
        <f>TTCHUNG!C9</f>
        <v xml:space="preserve">06/12/1987 </v>
      </c>
    </row>
    <row r="23" spans="1:16" x14ac:dyDescent="0.3">
      <c r="A23" s="156" t="s">
        <v>34</v>
      </c>
      <c r="B23" s="156"/>
      <c r="C23" s="156"/>
      <c r="D23" s="25" t="str">
        <f>TTCHUNG!C11</f>
        <v>Nam Hồng , Nam Sách , Hải Dương</v>
      </c>
      <c r="E23" s="25"/>
      <c r="F23" s="25"/>
      <c r="G23" s="25"/>
      <c r="H23" s="25"/>
      <c r="I23" s="25"/>
      <c r="J23" s="25"/>
    </row>
    <row r="24" spans="1:16" ht="19.5" x14ac:dyDescent="0.35">
      <c r="A24" s="45" t="s">
        <v>40</v>
      </c>
      <c r="B24" s="25"/>
      <c r="C24" s="25"/>
      <c r="D24" s="32" t="str">
        <f>TTCHUNG!C13</f>
        <v>Lừa đảo chiếm đoạt tài sản</v>
      </c>
      <c r="F24" s="25"/>
      <c r="G24" s="25"/>
      <c r="H24" s="25"/>
      <c r="I24" s="25"/>
      <c r="J24" s="25"/>
      <c r="L24" s="11"/>
      <c r="M24" s="11"/>
      <c r="N24" s="11"/>
      <c r="O24" s="11"/>
      <c r="P24" s="11"/>
    </row>
    <row r="25" spans="1:16" ht="19.5" customHeight="1" x14ac:dyDescent="0.3">
      <c r="A25" s="168" t="s">
        <v>56</v>
      </c>
      <c r="B25" s="168"/>
      <c r="C25" s="170" t="str">
        <f>TTCHUNG!C14</f>
        <v>16/01/2025</v>
      </c>
      <c r="D25" s="171"/>
      <c r="E25" s="171"/>
      <c r="F25" s="25"/>
      <c r="G25" s="25"/>
      <c r="H25" s="75"/>
      <c r="I25" s="75"/>
      <c r="J25" s="25"/>
      <c r="L25" s="11"/>
      <c r="M25" s="11"/>
      <c r="N25" s="11"/>
      <c r="O25" s="11"/>
      <c r="P25" s="11"/>
    </row>
    <row r="26" spans="1:16" x14ac:dyDescent="0.25">
      <c r="A26" s="42" t="s">
        <v>38</v>
      </c>
      <c r="B26" s="37"/>
      <c r="C26" s="37"/>
      <c r="D26" s="37"/>
      <c r="E26" s="166" t="str">
        <f>F19</f>
        <v>Trần Văn Dương</v>
      </c>
      <c r="F26" s="166"/>
      <c r="G26" s="37" t="s">
        <v>39</v>
      </c>
      <c r="H26" s="37"/>
      <c r="I26" s="37"/>
      <c r="J26" s="37"/>
      <c r="L26" s="11"/>
      <c r="M26" s="11"/>
      <c r="N26" s="11"/>
      <c r="O26" s="11"/>
      <c r="P26" s="11"/>
    </row>
    <row r="27" spans="1:16" s="46" customFormat="1" x14ac:dyDescent="0.3">
      <c r="A27" s="25" t="s">
        <v>42</v>
      </c>
      <c r="L27" s="11"/>
      <c r="M27" s="11"/>
      <c r="N27" s="11"/>
      <c r="O27" s="11"/>
      <c r="P27" s="11"/>
    </row>
    <row r="28" spans="1:16" s="46" customFormat="1" x14ac:dyDescent="0.3">
      <c r="A28" s="25"/>
      <c r="L28" s="11"/>
      <c r="M28" s="11"/>
      <c r="N28" s="11"/>
      <c r="O28" s="11"/>
      <c r="P28" s="11"/>
    </row>
    <row r="29" spans="1:16" x14ac:dyDescent="0.3">
      <c r="A29" s="169"/>
      <c r="B29" s="169"/>
      <c r="C29" s="169"/>
      <c r="D29" s="169"/>
      <c r="E29" s="169"/>
      <c r="F29" s="165" t="s">
        <v>41</v>
      </c>
      <c r="G29" s="165"/>
      <c r="H29" s="165"/>
      <c r="I29" s="165"/>
      <c r="J29" s="165"/>
    </row>
    <row r="30" spans="1:16" ht="18.75" customHeight="1" x14ac:dyDescent="0.3">
      <c r="A30" s="167"/>
      <c r="B30" s="167"/>
      <c r="C30" s="167"/>
      <c r="D30" s="167"/>
      <c r="E30" s="167"/>
      <c r="F30" s="167" t="s">
        <v>78</v>
      </c>
      <c r="G30" s="167"/>
      <c r="H30" s="167"/>
      <c r="I30" s="167"/>
      <c r="J30" s="167"/>
    </row>
    <row r="31" spans="1:16" x14ac:dyDescent="0.3">
      <c r="H31" s="77"/>
    </row>
    <row r="32" spans="1:16" x14ac:dyDescent="0.3">
      <c r="A32" s="78"/>
      <c r="H32" s="28"/>
    </row>
    <row r="33" spans="1:10" x14ac:dyDescent="0.3">
      <c r="A33" s="78"/>
      <c r="H33" s="28"/>
    </row>
    <row r="34" spans="1:10" x14ac:dyDescent="0.3">
      <c r="H34" s="28"/>
    </row>
    <row r="35" spans="1:10" x14ac:dyDescent="0.3">
      <c r="H35" s="76"/>
    </row>
    <row r="36" spans="1:10" x14ac:dyDescent="0.3">
      <c r="A36" s="29"/>
      <c r="F36" s="161" t="s">
        <v>91</v>
      </c>
      <c r="G36" s="161"/>
      <c r="H36" s="161"/>
      <c r="I36" s="161"/>
      <c r="J36" s="161"/>
    </row>
    <row r="37" spans="1:10" x14ac:dyDescent="0.3">
      <c r="A37" s="29"/>
    </row>
    <row r="41" spans="1:10" ht="13.5" customHeight="1" x14ac:dyDescent="0.3"/>
    <row r="44" spans="1:10" ht="18.75" customHeight="1" x14ac:dyDescent="0.3">
      <c r="A44" s="165" t="s">
        <v>43</v>
      </c>
      <c r="B44" s="165"/>
      <c r="C44" s="165"/>
      <c r="D44" s="165"/>
      <c r="E44" s="165"/>
      <c r="F44" s="165"/>
      <c r="G44" s="165"/>
      <c r="H44" s="165"/>
      <c r="I44" s="165"/>
      <c r="J44" s="165"/>
    </row>
    <row r="46" spans="1:10" x14ac:dyDescent="0.3">
      <c r="A46" s="161" t="s">
        <v>142</v>
      </c>
      <c r="B46" s="161"/>
      <c r="C46" s="161"/>
      <c r="D46" s="161"/>
      <c r="E46" s="161"/>
      <c r="F46" s="110" t="s">
        <v>11</v>
      </c>
      <c r="G46" s="171" t="s">
        <v>139</v>
      </c>
      <c r="H46" s="171"/>
      <c r="I46" s="109"/>
      <c r="J46" s="109"/>
    </row>
    <row r="47" spans="1:10" x14ac:dyDescent="0.3">
      <c r="A47" s="156" t="s">
        <v>44</v>
      </c>
      <c r="B47" s="156"/>
      <c r="C47" s="156"/>
      <c r="D47" s="25" t="s">
        <v>14</v>
      </c>
    </row>
    <row r="48" spans="1:10" x14ac:dyDescent="0.3">
      <c r="A48" s="156" t="s">
        <v>45</v>
      </c>
      <c r="B48" s="156"/>
      <c r="C48" s="156"/>
      <c r="D48" s="25" t="s">
        <v>92</v>
      </c>
    </row>
    <row r="49" spans="1:6" x14ac:dyDescent="0.3">
      <c r="A49" s="156" t="s">
        <v>77</v>
      </c>
      <c r="B49" s="156"/>
      <c r="C49" s="156"/>
      <c r="D49" s="156"/>
      <c r="E49" s="25" t="s">
        <v>47</v>
      </c>
    </row>
    <row r="50" spans="1:6" x14ac:dyDescent="0.3">
      <c r="A50" s="25" t="s">
        <v>46</v>
      </c>
      <c r="B50" s="25"/>
      <c r="C50" s="25"/>
      <c r="D50" s="25"/>
      <c r="E50" s="25"/>
    </row>
    <row r="51" spans="1:6" x14ac:dyDescent="0.3">
      <c r="A51" s="25" t="s">
        <v>48</v>
      </c>
    </row>
    <row r="52" spans="1:6" x14ac:dyDescent="0.3">
      <c r="A52" s="22" t="s">
        <v>49</v>
      </c>
      <c r="E52" s="48">
        <f>TTCHUNG!C4</f>
        <v>0</v>
      </c>
    </row>
    <row r="53" spans="1:6" x14ac:dyDescent="0.3">
      <c r="A53" s="25" t="s">
        <v>50</v>
      </c>
    </row>
    <row r="54" spans="1:6" x14ac:dyDescent="0.3">
      <c r="A54" s="25" t="s">
        <v>52</v>
      </c>
    </row>
    <row r="55" spans="1:6" x14ac:dyDescent="0.3">
      <c r="A55" s="25" t="s">
        <v>51</v>
      </c>
      <c r="B55" s="49"/>
      <c r="F55" s="47"/>
    </row>
    <row r="56" spans="1:6" ht="21.95" customHeight="1" x14ac:dyDescent="0.3">
      <c r="A56" s="4" t="s">
        <v>53</v>
      </c>
    </row>
    <row r="57" spans="1:6" ht="21.95" customHeight="1" x14ac:dyDescent="0.3">
      <c r="A57" s="4" t="s">
        <v>53</v>
      </c>
    </row>
    <row r="58" spans="1:6" ht="21.95" customHeight="1" x14ac:dyDescent="0.3">
      <c r="A58" s="4" t="s">
        <v>53</v>
      </c>
    </row>
    <row r="59" spans="1:6" ht="21.95" customHeight="1" x14ac:dyDescent="0.3">
      <c r="A59" s="4" t="s">
        <v>53</v>
      </c>
    </row>
    <row r="60" spans="1:6" ht="21.95" customHeight="1" x14ac:dyDescent="0.3">
      <c r="A60" s="4" t="s">
        <v>53</v>
      </c>
    </row>
    <row r="61" spans="1:6" ht="21.95" customHeight="1" x14ac:dyDescent="0.3">
      <c r="A61" s="4" t="s">
        <v>53</v>
      </c>
    </row>
    <row r="62" spans="1:6" ht="21.95" customHeight="1" x14ac:dyDescent="0.3">
      <c r="A62" s="4" t="s">
        <v>53</v>
      </c>
    </row>
    <row r="63" spans="1:6" ht="21.95" customHeight="1" x14ac:dyDescent="0.3">
      <c r="A63" s="4" t="s">
        <v>53</v>
      </c>
    </row>
    <row r="64" spans="1:6" ht="21.95" customHeight="1" x14ac:dyDescent="0.3">
      <c r="A64" s="4" t="s">
        <v>53</v>
      </c>
    </row>
    <row r="65" spans="1:16" ht="21.95" customHeight="1" x14ac:dyDescent="0.3">
      <c r="A65" s="4" t="s">
        <v>53</v>
      </c>
    </row>
    <row r="66" spans="1:16" ht="21.95" customHeight="1" x14ac:dyDescent="0.3">
      <c r="A66" s="4" t="s">
        <v>53</v>
      </c>
    </row>
    <row r="67" spans="1:16" ht="21.95" customHeight="1" x14ac:dyDescent="0.3">
      <c r="A67" s="4" t="s">
        <v>53</v>
      </c>
    </row>
    <row r="68" spans="1:16" ht="21.95" customHeight="1" x14ac:dyDescent="0.3">
      <c r="A68" s="4" t="s">
        <v>53</v>
      </c>
    </row>
    <row r="70" spans="1:16" s="22" customFormat="1" x14ac:dyDescent="0.3">
      <c r="A70" s="161" t="s">
        <v>79</v>
      </c>
      <c r="B70" s="161"/>
      <c r="C70" s="161"/>
      <c r="D70" s="161"/>
      <c r="E70" s="161"/>
      <c r="F70" s="161" t="s">
        <v>54</v>
      </c>
      <c r="G70" s="161"/>
      <c r="H70" s="161"/>
      <c r="I70" s="161"/>
      <c r="J70" s="161"/>
      <c r="L70" s="1"/>
      <c r="M70" s="1"/>
      <c r="N70" s="1"/>
      <c r="O70" s="1"/>
      <c r="P70" s="1"/>
    </row>
    <row r="71" spans="1:16" s="50" customFormat="1" x14ac:dyDescent="0.3">
      <c r="A71" s="167" t="s">
        <v>78</v>
      </c>
      <c r="B71" s="167"/>
      <c r="C71" s="167"/>
      <c r="D71" s="167"/>
      <c r="E71" s="167"/>
      <c r="F71" s="172" t="s">
        <v>23</v>
      </c>
      <c r="G71" s="172"/>
      <c r="H71" s="172"/>
      <c r="I71" s="172"/>
      <c r="J71" s="172"/>
      <c r="L71" s="1"/>
      <c r="M71" s="1"/>
      <c r="N71" s="1"/>
      <c r="O71" s="1"/>
      <c r="P71" s="1"/>
    </row>
    <row r="72" spans="1:16" s="22" customFormat="1" x14ac:dyDescent="0.3">
      <c r="L72" s="1"/>
      <c r="M72" s="1"/>
      <c r="N72" s="1"/>
      <c r="O72" s="1"/>
      <c r="P72" s="1"/>
    </row>
    <row r="73" spans="1:16" s="22" customFormat="1" x14ac:dyDescent="0.3">
      <c r="L73" s="1"/>
      <c r="M73" s="1"/>
      <c r="N73" s="1"/>
      <c r="O73" s="1"/>
      <c r="P73" s="1"/>
    </row>
    <row r="74" spans="1:16" s="22" customFormat="1" x14ac:dyDescent="0.3">
      <c r="L74" s="1"/>
      <c r="M74" s="1"/>
      <c r="N74" s="1"/>
      <c r="O74" s="1"/>
      <c r="P74" s="1"/>
    </row>
    <row r="75" spans="1:16" s="22" customFormat="1" x14ac:dyDescent="0.3">
      <c r="L75" s="1"/>
      <c r="M75" s="1"/>
      <c r="N75" s="1"/>
      <c r="O75" s="1"/>
      <c r="P75" s="1"/>
    </row>
    <row r="76" spans="1:16" s="22" customFormat="1" x14ac:dyDescent="0.3">
      <c r="L76" s="1"/>
      <c r="M76" s="1"/>
      <c r="N76" s="1"/>
      <c r="O76" s="1"/>
      <c r="P76" s="1"/>
    </row>
    <row r="77" spans="1:16" s="22" customFormat="1" x14ac:dyDescent="0.3">
      <c r="L77" s="1"/>
      <c r="M77" s="1"/>
      <c r="N77" s="1"/>
      <c r="O77" s="1"/>
      <c r="P77" s="1"/>
    </row>
    <row r="78" spans="1:16" s="22" customFormat="1" x14ac:dyDescent="0.3">
      <c r="F78" s="161"/>
      <c r="G78" s="161"/>
      <c r="H78" s="161"/>
      <c r="I78" s="161"/>
      <c r="J78" s="161"/>
      <c r="K78" s="121"/>
      <c r="L78" s="1"/>
      <c r="M78" s="1"/>
      <c r="N78" s="1"/>
      <c r="O78" s="1"/>
      <c r="P78" s="1"/>
    </row>
  </sheetData>
  <mergeCells count="39">
    <mergeCell ref="F78:J78"/>
    <mergeCell ref="A15:J15"/>
    <mergeCell ref="A4:D4"/>
    <mergeCell ref="E4:J4"/>
    <mergeCell ref="A5:D5"/>
    <mergeCell ref="E5:J5"/>
    <mergeCell ref="A6:D6"/>
    <mergeCell ref="A7:D7"/>
    <mergeCell ref="E7:J7"/>
    <mergeCell ref="A9:J9"/>
    <mergeCell ref="B10:I10"/>
    <mergeCell ref="A12:D12"/>
    <mergeCell ref="A13:B13"/>
    <mergeCell ref="A14:J14"/>
    <mergeCell ref="A16:J16"/>
    <mergeCell ref="A17:J17"/>
    <mergeCell ref="A18:J18"/>
    <mergeCell ref="A20:B20"/>
    <mergeCell ref="A22:C22"/>
    <mergeCell ref="H22:I22"/>
    <mergeCell ref="A47:C47"/>
    <mergeCell ref="A23:C23"/>
    <mergeCell ref="A25:B25"/>
    <mergeCell ref="C25:E25"/>
    <mergeCell ref="E26:F26"/>
    <mergeCell ref="A29:E29"/>
    <mergeCell ref="F29:J29"/>
    <mergeCell ref="F36:J36"/>
    <mergeCell ref="A30:E30"/>
    <mergeCell ref="F30:J30"/>
    <mergeCell ref="A44:J44"/>
    <mergeCell ref="A46:E46"/>
    <mergeCell ref="A71:E71"/>
    <mergeCell ref="F71:J71"/>
    <mergeCell ref="G46:H46"/>
    <mergeCell ref="A48:C48"/>
    <mergeCell ref="A49:D49"/>
    <mergeCell ref="A70:E70"/>
    <mergeCell ref="F70:J70"/>
  </mergeCells>
  <printOptions horizontalCentered="1" verticalCentered="1"/>
  <pageMargins left="0.7" right="0.25" top="0" bottom="0.25" header="0.3" footer="0.3"/>
  <pageSetup paperSize="9" scale="97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3:P79"/>
  <sheetViews>
    <sheetView view="pageBreakPreview" zoomScaleNormal="100" zoomScaleSheetLayoutView="100" workbookViewId="0">
      <selection activeCell="E7" sqref="E7:J7"/>
    </sheetView>
  </sheetViews>
  <sheetFormatPr defaultRowHeight="18.75" x14ac:dyDescent="0.3"/>
  <cols>
    <col min="1" max="1" width="13.85546875" style="23" customWidth="1"/>
    <col min="2" max="2" width="3" style="23" customWidth="1"/>
    <col min="3" max="3" width="5.28515625" style="23" customWidth="1"/>
    <col min="4" max="4" width="11.42578125" style="23" customWidth="1"/>
    <col min="5" max="5" width="9.140625" style="23" customWidth="1"/>
    <col min="6" max="6" width="9.710937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85546875" style="23" customWidth="1"/>
    <col min="11" max="11" width="2.85546875" style="23" customWidth="1"/>
    <col min="12" max="16" width="9.140625" style="1"/>
    <col min="17" max="16384" width="9.140625" style="23"/>
  </cols>
  <sheetData>
    <row r="3" spans="1:16" ht="11.25" customHeight="1" x14ac:dyDescent="0.3"/>
    <row r="4" spans="1:16" ht="17.25" x14ac:dyDescent="0.25">
      <c r="A4" s="158" t="s">
        <v>30</v>
      </c>
      <c r="B4" s="158"/>
      <c r="C4" s="158"/>
      <c r="D4" s="158"/>
      <c r="E4" s="159" t="s">
        <v>16</v>
      </c>
      <c r="F4" s="159"/>
      <c r="G4" s="159"/>
      <c r="H4" s="159"/>
      <c r="I4" s="159"/>
      <c r="J4" s="159"/>
      <c r="L4" s="11"/>
      <c r="M4" s="11"/>
      <c r="N4" s="11"/>
      <c r="O4" s="11"/>
      <c r="P4" s="11"/>
    </row>
    <row r="5" spans="1:16" ht="17.25" x14ac:dyDescent="0.25">
      <c r="A5" s="160" t="s">
        <v>31</v>
      </c>
      <c r="B5" s="160"/>
      <c r="C5" s="160"/>
      <c r="D5" s="160"/>
      <c r="E5" s="159" t="s">
        <v>85</v>
      </c>
      <c r="F5" s="159"/>
      <c r="G5" s="159"/>
      <c r="H5" s="159"/>
      <c r="I5" s="159"/>
      <c r="J5" s="159"/>
      <c r="L5" s="3"/>
      <c r="M5" s="3"/>
      <c r="N5" s="3"/>
      <c r="O5" s="3"/>
      <c r="P5" s="3"/>
    </row>
    <row r="6" spans="1:16" x14ac:dyDescent="0.3">
      <c r="A6" s="161"/>
      <c r="B6" s="161"/>
      <c r="C6" s="161"/>
      <c r="D6" s="161"/>
      <c r="L6" s="11"/>
      <c r="M6" s="11"/>
      <c r="N6" s="11"/>
      <c r="O6" s="11"/>
      <c r="P6" s="11"/>
    </row>
    <row r="7" spans="1:16" x14ac:dyDescent="0.3">
      <c r="A7" s="156"/>
      <c r="B7" s="156"/>
      <c r="C7" s="156"/>
      <c r="D7" s="156"/>
      <c r="E7" s="157" t="str">
        <f ca="1">"Quảng Ninh, ngày        tháng       năm "&amp;YEAR(TODAY())</f>
        <v>Quảng Ninh, ngày        tháng       năm 2026</v>
      </c>
      <c r="F7" s="157"/>
      <c r="G7" s="157"/>
      <c r="H7" s="157"/>
      <c r="I7" s="157"/>
      <c r="J7" s="157"/>
      <c r="L7" s="11"/>
      <c r="M7" s="11"/>
      <c r="N7" s="11"/>
      <c r="O7" s="11"/>
      <c r="P7" s="11"/>
    </row>
    <row r="8" spans="1:16" x14ac:dyDescent="0.3">
      <c r="A8" s="71"/>
      <c r="B8" s="71"/>
      <c r="C8" s="71"/>
      <c r="D8" s="71"/>
      <c r="E8" s="72"/>
      <c r="F8" s="72"/>
      <c r="G8" s="72"/>
      <c r="H8" s="72"/>
      <c r="I8" s="72"/>
      <c r="J8" s="72"/>
      <c r="L8" s="11"/>
      <c r="M8" s="11"/>
      <c r="N8" s="11"/>
      <c r="O8" s="11"/>
      <c r="P8" s="11"/>
    </row>
    <row r="9" spans="1:16" x14ac:dyDescent="0.25">
      <c r="A9" s="162" t="s">
        <v>26</v>
      </c>
      <c r="B9" s="162"/>
      <c r="C9" s="162"/>
      <c r="D9" s="162"/>
      <c r="E9" s="162"/>
      <c r="F9" s="162"/>
      <c r="G9" s="162"/>
      <c r="H9" s="162"/>
      <c r="I9" s="162"/>
      <c r="J9" s="162"/>
      <c r="L9" s="11"/>
      <c r="M9" s="11"/>
      <c r="N9" s="11"/>
      <c r="O9" s="11"/>
      <c r="P9" s="11"/>
    </row>
    <row r="10" spans="1:16" ht="22.5" customHeight="1" x14ac:dyDescent="0.3">
      <c r="A10" s="73"/>
      <c r="B10" s="161" t="s">
        <v>55</v>
      </c>
      <c r="C10" s="161"/>
      <c r="D10" s="161"/>
      <c r="E10" s="161"/>
      <c r="F10" s="161"/>
      <c r="G10" s="161"/>
      <c r="H10" s="161"/>
      <c r="I10" s="161"/>
      <c r="J10" s="73"/>
      <c r="L10" s="11"/>
      <c r="M10" s="11"/>
      <c r="N10" s="11"/>
      <c r="O10" s="11"/>
      <c r="P10" s="11"/>
    </row>
    <row r="11" spans="1:16" x14ac:dyDescent="0.25">
      <c r="A11" s="74"/>
      <c r="B11" s="74"/>
      <c r="C11" s="74"/>
      <c r="D11" s="74"/>
      <c r="E11" s="74"/>
      <c r="F11" s="74"/>
      <c r="G11" s="74"/>
      <c r="H11" s="74"/>
      <c r="I11" s="74"/>
      <c r="J11" s="74"/>
      <c r="L11" s="11"/>
      <c r="M11" s="11"/>
      <c r="N11" s="11"/>
      <c r="O11" s="11"/>
      <c r="P11" s="11"/>
    </row>
    <row r="12" spans="1:16" x14ac:dyDescent="0.3">
      <c r="A12" s="156" t="s">
        <v>86</v>
      </c>
      <c r="B12" s="161"/>
      <c r="C12" s="161"/>
      <c r="D12" s="161"/>
      <c r="E12" s="22"/>
      <c r="F12" s="73"/>
      <c r="G12" s="73"/>
      <c r="H12" s="73"/>
      <c r="I12" s="73"/>
      <c r="J12" s="73"/>
      <c r="L12" s="11"/>
      <c r="M12" s="11"/>
      <c r="N12" s="11"/>
      <c r="O12" s="11"/>
      <c r="P12" s="11"/>
    </row>
    <row r="13" spans="1:16" x14ac:dyDescent="0.3">
      <c r="A13" s="156" t="s">
        <v>36</v>
      </c>
      <c r="B13" s="156"/>
      <c r="C13" s="25" t="s">
        <v>80</v>
      </c>
      <c r="F13" s="75" t="s">
        <v>12</v>
      </c>
      <c r="G13" s="25" t="s">
        <v>87</v>
      </c>
      <c r="H13" s="25"/>
      <c r="I13" s="25"/>
      <c r="J13" s="25"/>
      <c r="L13" s="11"/>
      <c r="M13" s="11"/>
      <c r="N13" s="11"/>
      <c r="O13" s="11"/>
      <c r="P13" s="11"/>
    </row>
    <row r="14" spans="1:16" ht="36.75" customHeight="1" x14ac:dyDescent="0.25">
      <c r="A14" s="163" t="s">
        <v>74</v>
      </c>
      <c r="B14" s="163"/>
      <c r="C14" s="163"/>
      <c r="D14" s="163"/>
      <c r="E14" s="163"/>
      <c r="F14" s="163"/>
      <c r="G14" s="163"/>
      <c r="H14" s="163"/>
      <c r="I14" s="163"/>
      <c r="J14" s="163"/>
      <c r="L14" s="11"/>
      <c r="M14" s="11"/>
      <c r="N14" s="11"/>
      <c r="O14" s="11"/>
      <c r="P14" s="11"/>
    </row>
    <row r="15" spans="1:16" x14ac:dyDescent="0.25">
      <c r="A15" s="163" t="s">
        <v>75</v>
      </c>
      <c r="B15" s="163"/>
      <c r="C15" s="163"/>
      <c r="D15" s="163"/>
      <c r="E15" s="163"/>
      <c r="F15" s="163"/>
      <c r="G15" s="163"/>
      <c r="H15" s="163"/>
      <c r="I15" s="163"/>
      <c r="J15" s="163"/>
      <c r="L15" s="11"/>
      <c r="M15" s="11"/>
      <c r="N15" s="11"/>
      <c r="O15" s="11"/>
      <c r="P15" s="11"/>
    </row>
    <row r="16" spans="1:16" ht="39" customHeight="1" x14ac:dyDescent="0.25">
      <c r="A16" s="164" t="str">
        <f>"          - Căn cứ Lệnh tạm giam số …………"&amp;" ngày ……….."&amp;" của Cơ quan "&amp;TTCHUNG!G20&amp;" - Công an tỉnh Quảng Ninh;"</f>
        <v xml:space="preserve">          - Căn cứ Lệnh tạm giam số ………… ngày ……….. của Cơ quan  Cơ quan CSĐT - Công an tỉnh Quảng Ninh;</v>
      </c>
      <c r="B16" s="164"/>
      <c r="C16" s="164"/>
      <c r="D16" s="164"/>
      <c r="E16" s="164"/>
      <c r="F16" s="164"/>
      <c r="G16" s="164"/>
      <c r="H16" s="164"/>
      <c r="I16" s="164"/>
      <c r="J16" s="164"/>
      <c r="L16" s="11"/>
      <c r="M16" s="11"/>
      <c r="N16" s="11"/>
      <c r="O16" s="11"/>
      <c r="P16" s="11"/>
    </row>
    <row r="17" spans="1:16" x14ac:dyDescent="0.25">
      <c r="A17" s="163" t="s">
        <v>76</v>
      </c>
      <c r="B17" s="163"/>
      <c r="C17" s="163"/>
      <c r="D17" s="163"/>
      <c r="E17" s="163"/>
      <c r="F17" s="163"/>
      <c r="G17" s="163"/>
      <c r="H17" s="163"/>
      <c r="I17" s="163"/>
      <c r="J17" s="163"/>
      <c r="L17" s="11"/>
      <c r="M17" s="11"/>
      <c r="N17" s="11"/>
      <c r="O17" s="11"/>
      <c r="P17" s="11"/>
    </row>
    <row r="18" spans="1:16" ht="38.25" customHeight="1" x14ac:dyDescent="0.25">
      <c r="A18" s="165" t="s">
        <v>26</v>
      </c>
      <c r="B18" s="162"/>
      <c r="C18" s="162"/>
      <c r="D18" s="162"/>
      <c r="E18" s="162"/>
      <c r="F18" s="162"/>
      <c r="G18" s="162"/>
      <c r="H18" s="162"/>
      <c r="I18" s="162"/>
      <c r="J18" s="162"/>
      <c r="L18" s="11"/>
      <c r="M18" s="11"/>
      <c r="N18" s="11"/>
      <c r="O18" s="11"/>
      <c r="P18" s="11"/>
    </row>
    <row r="19" spans="1:16" x14ac:dyDescent="0.25">
      <c r="A19" s="42" t="s">
        <v>37</v>
      </c>
      <c r="B19" s="42"/>
      <c r="C19" s="42"/>
      <c r="D19" s="42"/>
      <c r="E19" s="42"/>
      <c r="F19" s="42" t="str">
        <f>TTCHUNG!C25</f>
        <v>Trần Văn Dương</v>
      </c>
      <c r="G19" s="42"/>
      <c r="H19" s="42"/>
      <c r="I19" s="42"/>
      <c r="J19" s="42"/>
      <c r="L19" s="11"/>
      <c r="M19" s="11"/>
      <c r="N19" s="11"/>
      <c r="O19" s="11"/>
      <c r="P19" s="11"/>
    </row>
    <row r="20" spans="1:16" x14ac:dyDescent="0.3">
      <c r="A20" s="156" t="s">
        <v>35</v>
      </c>
      <c r="B20" s="156"/>
      <c r="C20" s="25" t="str">
        <f>TTCHUNG!C26</f>
        <v>Đại úy</v>
      </c>
      <c r="E20" s="44" t="s">
        <v>12</v>
      </c>
      <c r="F20" s="37" t="str">
        <f>TTCHUNG!D27</f>
        <v>Cán bộ</v>
      </c>
      <c r="H20" s="44" t="s">
        <v>32</v>
      </c>
      <c r="I20" s="79" t="s">
        <v>88</v>
      </c>
      <c r="J20" s="42"/>
      <c r="L20" s="11"/>
      <c r="M20" s="11"/>
      <c r="N20" s="11"/>
      <c r="O20" s="11"/>
      <c r="P20" s="11"/>
    </row>
    <row r="21" spans="1:16" x14ac:dyDescent="0.3">
      <c r="A21" s="75" t="s">
        <v>33</v>
      </c>
      <c r="B21" s="22" t="s">
        <v>83</v>
      </c>
      <c r="C21" s="43"/>
      <c r="E21" s="44"/>
      <c r="F21" s="37"/>
      <c r="H21" s="44"/>
      <c r="I21" s="37"/>
      <c r="J21" s="42"/>
      <c r="L21" s="11"/>
      <c r="M21" s="11"/>
      <c r="N21" s="11"/>
      <c r="O21" s="11"/>
      <c r="P21" s="11"/>
    </row>
    <row r="22" spans="1:16" x14ac:dyDescent="0.3">
      <c r="A22" s="156" t="s">
        <v>19</v>
      </c>
      <c r="B22" s="156"/>
      <c r="C22" s="156"/>
      <c r="D22" s="22" t="str">
        <f>TTCHUNG!D7</f>
        <v>Nguyễn Trung Hiếu</v>
      </c>
      <c r="G22" s="25"/>
      <c r="H22" s="168" t="s">
        <v>21</v>
      </c>
      <c r="I22" s="168"/>
      <c r="J22" s="65" t="str">
        <f>TTCHUNG!C9</f>
        <v xml:space="preserve">06/12/1987 </v>
      </c>
    </row>
    <row r="23" spans="1:16" x14ac:dyDescent="0.3">
      <c r="A23" s="156" t="s">
        <v>34</v>
      </c>
      <c r="B23" s="156"/>
      <c r="C23" s="156"/>
      <c r="D23" s="25" t="str">
        <f>TTCHUNG!C11</f>
        <v>Nam Hồng , Nam Sách , Hải Dương</v>
      </c>
      <c r="E23" s="25"/>
      <c r="F23" s="25"/>
      <c r="G23" s="25"/>
      <c r="H23" s="25"/>
      <c r="I23" s="25"/>
      <c r="J23" s="25"/>
    </row>
    <row r="24" spans="1:16" ht="19.5" x14ac:dyDescent="0.35">
      <c r="A24" s="45" t="s">
        <v>40</v>
      </c>
      <c r="B24" s="25"/>
      <c r="C24" s="25"/>
      <c r="D24" s="32" t="str">
        <f>TTCHUNG!C13</f>
        <v>Lừa đảo chiếm đoạt tài sản</v>
      </c>
      <c r="F24" s="25"/>
      <c r="G24" s="25"/>
      <c r="H24" s="25"/>
      <c r="I24" s="25"/>
      <c r="J24" s="25"/>
      <c r="L24" s="11"/>
      <c r="M24" s="11"/>
      <c r="N24" s="11"/>
      <c r="O24" s="11"/>
      <c r="P24" s="11"/>
    </row>
    <row r="25" spans="1:16" ht="19.5" customHeight="1" x14ac:dyDescent="0.3">
      <c r="A25" s="168" t="s">
        <v>56</v>
      </c>
      <c r="B25" s="168"/>
      <c r="C25" s="170" t="str">
        <f>TTCHUNG!C14</f>
        <v>16/01/2025</v>
      </c>
      <c r="D25" s="171"/>
      <c r="E25" s="171"/>
      <c r="F25" s="25"/>
      <c r="G25" s="25"/>
      <c r="H25" s="75"/>
      <c r="I25" s="75"/>
      <c r="J25" s="25"/>
      <c r="L25" s="11"/>
      <c r="M25" s="11"/>
      <c r="N25" s="11"/>
      <c r="O25" s="11"/>
      <c r="P25" s="11"/>
    </row>
    <row r="26" spans="1:16" x14ac:dyDescent="0.25">
      <c r="A26" s="42" t="s">
        <v>38</v>
      </c>
      <c r="B26" s="37"/>
      <c r="C26" s="37"/>
      <c r="D26" s="37"/>
      <c r="E26" s="166" t="str">
        <f>F19</f>
        <v>Trần Văn Dương</v>
      </c>
      <c r="F26" s="166"/>
      <c r="G26" s="37" t="s">
        <v>39</v>
      </c>
      <c r="H26" s="37"/>
      <c r="I26" s="37"/>
      <c r="J26" s="37"/>
      <c r="L26" s="11"/>
      <c r="M26" s="11"/>
      <c r="N26" s="11"/>
      <c r="O26" s="11"/>
      <c r="P26" s="11"/>
    </row>
    <row r="27" spans="1:16" s="46" customFormat="1" x14ac:dyDescent="0.3">
      <c r="A27" s="25" t="s">
        <v>42</v>
      </c>
      <c r="L27" s="11"/>
      <c r="M27" s="11"/>
      <c r="N27" s="11"/>
      <c r="O27" s="11"/>
      <c r="P27" s="11"/>
    </row>
    <row r="28" spans="1:16" s="46" customFormat="1" x14ac:dyDescent="0.3">
      <c r="A28" s="25"/>
      <c r="L28" s="11"/>
      <c r="M28" s="11"/>
      <c r="N28" s="11"/>
      <c r="O28" s="11"/>
      <c r="P28" s="11"/>
    </row>
    <row r="29" spans="1:16" x14ac:dyDescent="0.3">
      <c r="A29" s="169"/>
      <c r="B29" s="169"/>
      <c r="C29" s="169"/>
      <c r="D29" s="169"/>
      <c r="E29" s="169"/>
      <c r="F29" s="165" t="s">
        <v>41</v>
      </c>
      <c r="G29" s="165"/>
      <c r="H29" s="165"/>
      <c r="I29" s="165"/>
      <c r="J29" s="165"/>
    </row>
    <row r="30" spans="1:16" ht="18.75" customHeight="1" x14ac:dyDescent="0.3">
      <c r="A30" s="167"/>
      <c r="B30" s="167"/>
      <c r="C30" s="167"/>
      <c r="D30" s="167"/>
      <c r="E30" s="167"/>
      <c r="F30" s="167" t="s">
        <v>78</v>
      </c>
      <c r="G30" s="167"/>
      <c r="H30" s="167"/>
      <c r="I30" s="167"/>
      <c r="J30" s="167"/>
    </row>
    <row r="31" spans="1:16" x14ac:dyDescent="0.3">
      <c r="H31" s="77"/>
    </row>
    <row r="32" spans="1:16" x14ac:dyDescent="0.3">
      <c r="A32" s="78"/>
      <c r="H32" s="28"/>
    </row>
    <row r="33" spans="1:10" x14ac:dyDescent="0.3">
      <c r="A33" s="78"/>
      <c r="H33" s="28"/>
    </row>
    <row r="34" spans="1:10" x14ac:dyDescent="0.3">
      <c r="H34" s="28"/>
    </row>
    <row r="35" spans="1:10" x14ac:dyDescent="0.3">
      <c r="H35" s="76"/>
    </row>
    <row r="36" spans="1:10" x14ac:dyDescent="0.3">
      <c r="A36" s="29"/>
      <c r="F36" s="161" t="s">
        <v>91</v>
      </c>
      <c r="G36" s="161"/>
      <c r="H36" s="161"/>
      <c r="I36" s="161"/>
      <c r="J36" s="161"/>
    </row>
    <row r="37" spans="1:10" x14ac:dyDescent="0.3">
      <c r="A37" s="29"/>
    </row>
    <row r="41" spans="1:10" ht="13.5" customHeight="1" x14ac:dyDescent="0.3"/>
    <row r="44" spans="1:10" ht="18.75" customHeight="1" x14ac:dyDescent="0.3">
      <c r="A44" s="165" t="s">
        <v>43</v>
      </c>
      <c r="B44" s="165"/>
      <c r="C44" s="165"/>
      <c r="D44" s="165"/>
      <c r="E44" s="165"/>
      <c r="F44" s="165"/>
      <c r="G44" s="165"/>
      <c r="H44" s="165"/>
      <c r="I44" s="165"/>
      <c r="J44" s="165"/>
    </row>
    <row r="46" spans="1:10" x14ac:dyDescent="0.3">
      <c r="A46" s="161" t="s">
        <v>142</v>
      </c>
      <c r="B46" s="161"/>
      <c r="C46" s="161"/>
      <c r="D46" s="161"/>
      <c r="E46" s="161"/>
      <c r="F46" s="110" t="s">
        <v>11</v>
      </c>
      <c r="G46" s="171" t="s">
        <v>139</v>
      </c>
      <c r="H46" s="171"/>
      <c r="I46" s="109"/>
      <c r="J46" s="109"/>
    </row>
    <row r="47" spans="1:10" x14ac:dyDescent="0.3">
      <c r="A47" s="156" t="s">
        <v>44</v>
      </c>
      <c r="B47" s="156"/>
      <c r="C47" s="156"/>
      <c r="D47" s="25" t="s">
        <v>14</v>
      </c>
    </row>
    <row r="48" spans="1:10" x14ac:dyDescent="0.3">
      <c r="A48" s="156" t="s">
        <v>45</v>
      </c>
      <c r="B48" s="156"/>
      <c r="C48" s="156"/>
      <c r="D48" s="25" t="s">
        <v>92</v>
      </c>
    </row>
    <row r="49" spans="1:6" x14ac:dyDescent="0.3">
      <c r="A49" s="156" t="s">
        <v>77</v>
      </c>
      <c r="B49" s="156"/>
      <c r="C49" s="156"/>
      <c r="D49" s="156"/>
      <c r="E49" s="25" t="s">
        <v>47</v>
      </c>
    </row>
    <row r="50" spans="1:6" x14ac:dyDescent="0.3">
      <c r="A50" s="25" t="s">
        <v>46</v>
      </c>
      <c r="B50" s="25"/>
      <c r="C50" s="25"/>
      <c r="D50" s="25"/>
      <c r="E50" s="25"/>
    </row>
    <row r="51" spans="1:6" x14ac:dyDescent="0.3">
      <c r="A51" s="25" t="s">
        <v>48</v>
      </c>
    </row>
    <row r="52" spans="1:6" x14ac:dyDescent="0.3">
      <c r="A52" s="22" t="s">
        <v>49</v>
      </c>
      <c r="E52" s="48">
        <f>TTCHUNG!C4</f>
        <v>0</v>
      </c>
    </row>
    <row r="53" spans="1:6" x14ac:dyDescent="0.3">
      <c r="A53" s="25" t="s">
        <v>50</v>
      </c>
    </row>
    <row r="54" spans="1:6" x14ac:dyDescent="0.3">
      <c r="A54" s="25" t="s">
        <v>52</v>
      </c>
    </row>
    <row r="55" spans="1:6" x14ac:dyDescent="0.3">
      <c r="A55" s="25" t="s">
        <v>51</v>
      </c>
      <c r="B55" s="49"/>
      <c r="F55" s="47"/>
    </row>
    <row r="56" spans="1:6" ht="21.95" customHeight="1" x14ac:dyDescent="0.3">
      <c r="A56" s="4" t="s">
        <v>137</v>
      </c>
    </row>
    <row r="57" spans="1:6" ht="21.95" customHeight="1" x14ac:dyDescent="0.3">
      <c r="A57" s="4" t="s">
        <v>138</v>
      </c>
    </row>
    <row r="58" spans="1:6" ht="21.95" customHeight="1" x14ac:dyDescent="0.3">
      <c r="A58" s="4" t="s">
        <v>53</v>
      </c>
    </row>
    <row r="59" spans="1:6" ht="21.95" customHeight="1" x14ac:dyDescent="0.3">
      <c r="A59" s="4" t="s">
        <v>53</v>
      </c>
    </row>
    <row r="60" spans="1:6" ht="21.95" customHeight="1" x14ac:dyDescent="0.3">
      <c r="A60" s="4" t="s">
        <v>53</v>
      </c>
    </row>
    <row r="61" spans="1:6" ht="21.95" customHeight="1" x14ac:dyDescent="0.3">
      <c r="A61" s="4" t="s">
        <v>53</v>
      </c>
    </row>
    <row r="62" spans="1:6" ht="21.95" customHeight="1" x14ac:dyDescent="0.3">
      <c r="A62" s="4" t="s">
        <v>53</v>
      </c>
    </row>
    <row r="63" spans="1:6" ht="21.95" customHeight="1" x14ac:dyDescent="0.3">
      <c r="A63" s="4" t="s">
        <v>53</v>
      </c>
    </row>
    <row r="64" spans="1:6" ht="21.95" customHeight="1" x14ac:dyDescent="0.3">
      <c r="A64" s="4" t="s">
        <v>53</v>
      </c>
    </row>
    <row r="65" spans="1:16" ht="21.95" customHeight="1" x14ac:dyDescent="0.3">
      <c r="A65" s="4" t="s">
        <v>53</v>
      </c>
    </row>
    <row r="66" spans="1:16" ht="21.95" customHeight="1" x14ac:dyDescent="0.3">
      <c r="A66" s="4" t="s">
        <v>53</v>
      </c>
    </row>
    <row r="67" spans="1:16" ht="21.95" customHeight="1" x14ac:dyDescent="0.3">
      <c r="A67" s="4" t="s">
        <v>53</v>
      </c>
    </row>
    <row r="68" spans="1:16" ht="21.95" customHeight="1" x14ac:dyDescent="0.3">
      <c r="A68" s="4" t="s">
        <v>53</v>
      </c>
    </row>
    <row r="70" spans="1:16" s="22" customFormat="1" x14ac:dyDescent="0.3">
      <c r="A70" s="161" t="s">
        <v>79</v>
      </c>
      <c r="B70" s="161"/>
      <c r="C70" s="161"/>
      <c r="D70" s="161"/>
      <c r="E70" s="161"/>
      <c r="F70" s="161" t="s">
        <v>54</v>
      </c>
      <c r="G70" s="161"/>
      <c r="H70" s="161"/>
      <c r="I70" s="161"/>
      <c r="J70" s="161"/>
      <c r="L70" s="1"/>
      <c r="M70" s="1"/>
      <c r="N70" s="1"/>
      <c r="O70" s="1"/>
      <c r="P70" s="1"/>
    </row>
    <row r="71" spans="1:16" s="50" customFormat="1" x14ac:dyDescent="0.3">
      <c r="A71" s="167" t="s">
        <v>78</v>
      </c>
      <c r="B71" s="167"/>
      <c r="C71" s="167"/>
      <c r="D71" s="167"/>
      <c r="E71" s="167"/>
      <c r="F71" s="172" t="s">
        <v>23</v>
      </c>
      <c r="G71" s="172"/>
      <c r="H71" s="172"/>
      <c r="I71" s="172"/>
      <c r="J71" s="172"/>
      <c r="L71" s="1"/>
      <c r="M71" s="1"/>
      <c r="N71" s="1"/>
      <c r="O71" s="1"/>
      <c r="P71" s="1"/>
    </row>
    <row r="72" spans="1:16" s="22" customFormat="1" x14ac:dyDescent="0.3">
      <c r="L72" s="1"/>
      <c r="M72" s="1"/>
      <c r="N72" s="1"/>
      <c r="O72" s="1"/>
      <c r="P72" s="1"/>
    </row>
    <row r="73" spans="1:16" s="22" customFormat="1" x14ac:dyDescent="0.3">
      <c r="L73" s="1"/>
      <c r="M73" s="1"/>
      <c r="N73" s="1"/>
      <c r="O73" s="1"/>
      <c r="P73" s="1"/>
    </row>
    <row r="74" spans="1:16" s="22" customFormat="1" x14ac:dyDescent="0.3">
      <c r="L74" s="1"/>
      <c r="M74" s="1"/>
      <c r="N74" s="1"/>
      <c r="O74" s="1"/>
      <c r="P74" s="1"/>
    </row>
    <row r="75" spans="1:16" s="22" customFormat="1" x14ac:dyDescent="0.3">
      <c r="L75" s="1"/>
      <c r="M75" s="1"/>
      <c r="N75" s="1"/>
      <c r="O75" s="1"/>
      <c r="P75" s="1"/>
    </row>
    <row r="76" spans="1:16" s="22" customFormat="1" x14ac:dyDescent="0.3">
      <c r="L76" s="1"/>
      <c r="M76" s="1"/>
      <c r="N76" s="1"/>
      <c r="O76" s="1"/>
      <c r="P76" s="1"/>
    </row>
    <row r="77" spans="1:16" s="22" customFormat="1" x14ac:dyDescent="0.3">
      <c r="L77" s="1"/>
      <c r="M77" s="1"/>
      <c r="N77" s="1"/>
      <c r="O77" s="1"/>
      <c r="P77" s="1"/>
    </row>
    <row r="78" spans="1:16" s="22" customFormat="1" x14ac:dyDescent="0.3">
      <c r="F78" s="161" t="s">
        <v>143</v>
      </c>
      <c r="G78" s="161"/>
      <c r="H78" s="161"/>
      <c r="I78" s="161"/>
      <c r="J78" s="161"/>
      <c r="L78" s="1"/>
      <c r="M78" s="1"/>
      <c r="N78" s="1"/>
      <c r="O78" s="1"/>
      <c r="P78" s="1"/>
    </row>
    <row r="79" spans="1:16" x14ac:dyDescent="0.3">
      <c r="F79" s="161"/>
      <c r="G79" s="161"/>
      <c r="H79" s="161"/>
      <c r="I79" s="161"/>
      <c r="J79" s="161"/>
    </row>
  </sheetData>
  <mergeCells count="40">
    <mergeCell ref="F79:J79"/>
    <mergeCell ref="F78:J78"/>
    <mergeCell ref="A15:J15"/>
    <mergeCell ref="A4:D4"/>
    <mergeCell ref="E4:J4"/>
    <mergeCell ref="A5:D5"/>
    <mergeCell ref="E5:J5"/>
    <mergeCell ref="A6:D6"/>
    <mergeCell ref="A7:D7"/>
    <mergeCell ref="E7:J7"/>
    <mergeCell ref="A9:J9"/>
    <mergeCell ref="B10:I10"/>
    <mergeCell ref="A12:D12"/>
    <mergeCell ref="A13:B13"/>
    <mergeCell ref="A14:J14"/>
    <mergeCell ref="A16:J16"/>
    <mergeCell ref="A17:J17"/>
    <mergeCell ref="A18:J18"/>
    <mergeCell ref="A20:B20"/>
    <mergeCell ref="A22:C22"/>
    <mergeCell ref="H22:I22"/>
    <mergeCell ref="A47:C47"/>
    <mergeCell ref="A23:C23"/>
    <mergeCell ref="A25:B25"/>
    <mergeCell ref="C25:E25"/>
    <mergeCell ref="E26:F26"/>
    <mergeCell ref="A29:E29"/>
    <mergeCell ref="F29:J29"/>
    <mergeCell ref="F36:J36"/>
    <mergeCell ref="A30:E30"/>
    <mergeCell ref="F30:J30"/>
    <mergeCell ref="A44:J44"/>
    <mergeCell ref="A46:E46"/>
    <mergeCell ref="G46:H46"/>
    <mergeCell ref="A48:C48"/>
    <mergeCell ref="A49:D49"/>
    <mergeCell ref="A70:E70"/>
    <mergeCell ref="F70:J70"/>
    <mergeCell ref="A71:E71"/>
    <mergeCell ref="F71:J71"/>
  </mergeCells>
  <printOptions horizontalCentered="1" verticalCentered="1"/>
  <pageMargins left="0.7" right="0.25" top="0" bottom="0.25" header="0.3" footer="0.3"/>
  <pageSetup paperSize="9" scale="97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3:P81"/>
  <sheetViews>
    <sheetView view="pageBreakPreview" zoomScaleNormal="100" zoomScaleSheetLayoutView="100" workbookViewId="0">
      <selection activeCell="E8" sqref="E8"/>
    </sheetView>
  </sheetViews>
  <sheetFormatPr defaultRowHeight="18.75" x14ac:dyDescent="0.3"/>
  <cols>
    <col min="1" max="1" width="13.85546875" style="23" customWidth="1"/>
    <col min="2" max="2" width="3" style="23" customWidth="1"/>
    <col min="3" max="3" width="5.28515625" style="23" customWidth="1"/>
    <col min="4" max="4" width="11.42578125" style="23" customWidth="1"/>
    <col min="5" max="5" width="9.140625" style="23" customWidth="1"/>
    <col min="6" max="6" width="9.710937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85546875" style="23" customWidth="1"/>
    <col min="11" max="11" width="2.85546875" style="23" customWidth="1"/>
    <col min="12" max="16" width="9.140625" style="1"/>
    <col min="17" max="16384" width="9.140625" style="23"/>
  </cols>
  <sheetData>
    <row r="3" spans="1:16" ht="11.25" customHeight="1" x14ac:dyDescent="0.3"/>
    <row r="4" spans="1:16" ht="17.25" x14ac:dyDescent="0.25">
      <c r="A4" s="158" t="s">
        <v>30</v>
      </c>
      <c r="B4" s="158"/>
      <c r="C4" s="158"/>
      <c r="D4" s="158"/>
      <c r="E4" s="159" t="s">
        <v>16</v>
      </c>
      <c r="F4" s="159"/>
      <c r="G4" s="159"/>
      <c r="H4" s="159"/>
      <c r="I4" s="159"/>
      <c r="J4" s="159"/>
      <c r="L4" s="11"/>
      <c r="M4" s="11"/>
      <c r="N4" s="11"/>
      <c r="O4" s="11"/>
      <c r="P4" s="11"/>
    </row>
    <row r="5" spans="1:16" ht="17.25" x14ac:dyDescent="0.25">
      <c r="A5" s="160" t="s">
        <v>31</v>
      </c>
      <c r="B5" s="160"/>
      <c r="C5" s="160"/>
      <c r="D5" s="160"/>
      <c r="E5" s="159" t="s">
        <v>85</v>
      </c>
      <c r="F5" s="159"/>
      <c r="G5" s="159"/>
      <c r="H5" s="159"/>
      <c r="I5" s="159"/>
      <c r="J5" s="159"/>
      <c r="L5" s="3"/>
      <c r="M5" s="3"/>
      <c r="N5" s="3"/>
      <c r="O5" s="3"/>
      <c r="P5" s="3"/>
    </row>
    <row r="6" spans="1:16" x14ac:dyDescent="0.3">
      <c r="A6" s="161"/>
      <c r="B6" s="161"/>
      <c r="C6" s="161"/>
      <c r="D6" s="161"/>
      <c r="L6" s="11"/>
      <c r="M6" s="11"/>
      <c r="N6" s="11"/>
      <c r="O6" s="11"/>
      <c r="P6" s="11"/>
    </row>
    <row r="7" spans="1:16" x14ac:dyDescent="0.3">
      <c r="A7" s="156"/>
      <c r="B7" s="156"/>
      <c r="C7" s="156"/>
      <c r="D7" s="156"/>
      <c r="E7" s="157" t="str">
        <f ca="1">"Quảng Ninh, ngày "&amp;LEFT(TTCHUNG!C15,2)&amp;" tháng "&amp;MID(TTCHUNG!C15,4,2)&amp;" năm "&amp;YEAR(TODAY())</f>
        <v>Quảng Ninh, ngày  tháng  năm 2026</v>
      </c>
      <c r="F7" s="157"/>
      <c r="G7" s="157"/>
      <c r="H7" s="157"/>
      <c r="I7" s="157"/>
      <c r="J7" s="157"/>
      <c r="L7" s="11"/>
      <c r="M7" s="11"/>
      <c r="N7" s="11"/>
      <c r="O7" s="11"/>
      <c r="P7" s="11"/>
    </row>
    <row r="8" spans="1:16" x14ac:dyDescent="0.3">
      <c r="A8" s="139"/>
      <c r="B8" s="139"/>
      <c r="C8" s="139"/>
      <c r="D8" s="139"/>
      <c r="E8" s="145"/>
      <c r="F8" s="145"/>
      <c r="G8" s="145"/>
      <c r="H8" s="145"/>
      <c r="I8" s="145"/>
      <c r="J8" s="145"/>
      <c r="L8" s="11"/>
      <c r="M8" s="11"/>
      <c r="N8" s="11"/>
      <c r="O8" s="11"/>
      <c r="P8" s="11"/>
    </row>
    <row r="9" spans="1:16" x14ac:dyDescent="0.25">
      <c r="A9" s="162" t="s">
        <v>26</v>
      </c>
      <c r="B9" s="162"/>
      <c r="C9" s="162"/>
      <c r="D9" s="162"/>
      <c r="E9" s="162"/>
      <c r="F9" s="162"/>
      <c r="G9" s="162"/>
      <c r="H9" s="162"/>
      <c r="I9" s="162"/>
      <c r="J9" s="162"/>
      <c r="L9" s="11"/>
      <c r="M9" s="11"/>
      <c r="N9" s="11"/>
      <c r="O9" s="11"/>
      <c r="P9" s="11"/>
    </row>
    <row r="10" spans="1:16" ht="22.5" customHeight="1" x14ac:dyDescent="0.3">
      <c r="A10" s="138"/>
      <c r="B10" s="161" t="s">
        <v>55</v>
      </c>
      <c r="C10" s="161"/>
      <c r="D10" s="161"/>
      <c r="E10" s="161"/>
      <c r="F10" s="161"/>
      <c r="G10" s="161"/>
      <c r="H10" s="161"/>
      <c r="I10" s="161"/>
      <c r="J10" s="138"/>
      <c r="L10" s="11"/>
      <c r="M10" s="11"/>
      <c r="N10" s="11"/>
      <c r="O10" s="11"/>
      <c r="P10" s="11"/>
    </row>
    <row r="11" spans="1:16" x14ac:dyDescent="0.25">
      <c r="A11" s="143"/>
      <c r="B11" s="143"/>
      <c r="C11" s="143"/>
      <c r="D11" s="143"/>
      <c r="E11" s="143"/>
      <c r="F11" s="143"/>
      <c r="G11" s="143"/>
      <c r="H11" s="143"/>
      <c r="I11" s="143"/>
      <c r="J11" s="143"/>
      <c r="L11" s="11"/>
      <c r="M11" s="11"/>
      <c r="N11" s="11"/>
      <c r="O11" s="11"/>
      <c r="P11" s="11"/>
    </row>
    <row r="12" spans="1:16" x14ac:dyDescent="0.3">
      <c r="A12" s="156" t="s">
        <v>86</v>
      </c>
      <c r="B12" s="161"/>
      <c r="C12" s="161"/>
      <c r="D12" s="161"/>
      <c r="E12" s="22"/>
      <c r="F12" s="138"/>
      <c r="G12" s="138"/>
      <c r="H12" s="138"/>
      <c r="I12" s="138"/>
      <c r="J12" s="138"/>
      <c r="L12" s="11"/>
      <c r="M12" s="11"/>
      <c r="N12" s="11"/>
      <c r="O12" s="11"/>
      <c r="P12" s="11"/>
    </row>
    <row r="13" spans="1:16" x14ac:dyDescent="0.3">
      <c r="A13" s="156" t="s">
        <v>36</v>
      </c>
      <c r="B13" s="156"/>
      <c r="C13" s="25" t="s">
        <v>80</v>
      </c>
      <c r="F13" s="141" t="s">
        <v>12</v>
      </c>
      <c r="G13" s="25" t="s">
        <v>87</v>
      </c>
      <c r="H13" s="25"/>
      <c r="I13" s="25"/>
      <c r="J13" s="25"/>
      <c r="L13" s="11"/>
      <c r="M13" s="11"/>
      <c r="N13" s="11"/>
      <c r="O13" s="11"/>
      <c r="P13" s="11"/>
    </row>
    <row r="14" spans="1:16" ht="36.75" customHeight="1" x14ac:dyDescent="0.25">
      <c r="A14" s="163" t="s">
        <v>74</v>
      </c>
      <c r="B14" s="163"/>
      <c r="C14" s="163"/>
      <c r="D14" s="163"/>
      <c r="E14" s="163"/>
      <c r="F14" s="163"/>
      <c r="G14" s="163"/>
      <c r="H14" s="163"/>
      <c r="I14" s="163"/>
      <c r="J14" s="163"/>
      <c r="L14" s="11"/>
      <c r="M14" s="11"/>
      <c r="N14" s="11"/>
      <c r="O14" s="11"/>
      <c r="P14" s="11"/>
    </row>
    <row r="15" spans="1:16" x14ac:dyDescent="0.25">
      <c r="A15" s="163" t="s">
        <v>75</v>
      </c>
      <c r="B15" s="163"/>
      <c r="C15" s="163"/>
      <c r="D15" s="163"/>
      <c r="E15" s="163"/>
      <c r="F15" s="163"/>
      <c r="G15" s="163"/>
      <c r="H15" s="163"/>
      <c r="I15" s="163"/>
      <c r="J15" s="163"/>
      <c r="L15" s="11"/>
      <c r="M15" s="11"/>
      <c r="N15" s="11"/>
      <c r="O15" s="11"/>
      <c r="P15" s="11"/>
    </row>
    <row r="16" spans="1:16" ht="39" customHeight="1" x14ac:dyDescent="0.25">
      <c r="A16" s="164" t="str">
        <f>"          - Căn cứ Lệnh bắt bị can để tạm giam số "&amp;TTCHUNG!E22&amp;" ngày "&amp;TTCHUNG!F22&amp;" của Cơ quan "&amp;TTCHUNG!G22&amp;" - Công an tỉnh Quảng Ninh;"</f>
        <v xml:space="preserve">          - Căn cứ Lệnh bắt bị can để tạm giam số  ngày  của Cơ quan  - Công an tỉnh Quảng Ninh;</v>
      </c>
      <c r="B16" s="164"/>
      <c r="C16" s="164"/>
      <c r="D16" s="164"/>
      <c r="E16" s="164"/>
      <c r="F16" s="164"/>
      <c r="G16" s="164"/>
      <c r="H16" s="164"/>
      <c r="I16" s="164"/>
      <c r="J16" s="164"/>
      <c r="L16" s="11"/>
      <c r="M16" s="11"/>
      <c r="N16" s="11"/>
      <c r="O16" s="11"/>
      <c r="P16" s="11"/>
    </row>
    <row r="17" spans="1:16" x14ac:dyDescent="0.25">
      <c r="A17" s="163" t="s">
        <v>76</v>
      </c>
      <c r="B17" s="163"/>
      <c r="C17" s="163"/>
      <c r="D17" s="163"/>
      <c r="E17" s="163"/>
      <c r="F17" s="163"/>
      <c r="G17" s="163"/>
      <c r="H17" s="163"/>
      <c r="I17" s="163"/>
      <c r="J17" s="163"/>
      <c r="L17" s="11"/>
      <c r="M17" s="11"/>
      <c r="N17" s="11"/>
      <c r="O17" s="11"/>
      <c r="P17" s="11"/>
    </row>
    <row r="18" spans="1:16" ht="38.25" customHeight="1" x14ac:dyDescent="0.25">
      <c r="A18" s="165" t="s">
        <v>26</v>
      </c>
      <c r="B18" s="162"/>
      <c r="C18" s="162"/>
      <c r="D18" s="162"/>
      <c r="E18" s="162"/>
      <c r="F18" s="162"/>
      <c r="G18" s="162"/>
      <c r="H18" s="162"/>
      <c r="I18" s="162"/>
      <c r="J18" s="162"/>
      <c r="L18" s="11"/>
      <c r="M18" s="11"/>
      <c r="N18" s="11"/>
      <c r="O18" s="11"/>
      <c r="P18" s="11"/>
    </row>
    <row r="19" spans="1:16" x14ac:dyDescent="0.25">
      <c r="A19" s="42" t="s">
        <v>37</v>
      </c>
      <c r="B19" s="42"/>
      <c r="C19" s="42"/>
      <c r="D19" s="42"/>
      <c r="E19" s="42"/>
      <c r="F19" s="42" t="str">
        <f>TTCHUNG!C25</f>
        <v>Trần Văn Dương</v>
      </c>
      <c r="G19" s="42"/>
      <c r="H19" s="42"/>
      <c r="I19" s="42"/>
      <c r="J19" s="42"/>
      <c r="L19" s="11"/>
      <c r="M19" s="11"/>
      <c r="N19" s="11"/>
      <c r="O19" s="11"/>
      <c r="P19" s="11"/>
    </row>
    <row r="20" spans="1:16" x14ac:dyDescent="0.3">
      <c r="A20" s="156" t="s">
        <v>35</v>
      </c>
      <c r="B20" s="156"/>
      <c r="C20" s="25" t="str">
        <f>TTCHUNG!C26</f>
        <v>Đại úy</v>
      </c>
      <c r="E20" s="44" t="s">
        <v>12</v>
      </c>
      <c r="F20" s="37" t="str">
        <f>TTCHUNG!D27</f>
        <v>Cán bộ</v>
      </c>
      <c r="H20" s="44" t="s">
        <v>32</v>
      </c>
      <c r="I20" s="79" t="s">
        <v>88</v>
      </c>
      <c r="J20" s="42"/>
      <c r="L20" s="11"/>
      <c r="M20" s="11"/>
      <c r="N20" s="11"/>
      <c r="O20" s="11"/>
      <c r="P20" s="11"/>
    </row>
    <row r="21" spans="1:16" x14ac:dyDescent="0.3">
      <c r="A21" s="141" t="s">
        <v>33</v>
      </c>
      <c r="B21" s="22" t="s">
        <v>81</v>
      </c>
      <c r="C21" s="43"/>
      <c r="E21" s="44"/>
      <c r="F21" s="37"/>
      <c r="H21" s="44"/>
      <c r="I21" s="37"/>
      <c r="J21" s="42"/>
      <c r="L21" s="11"/>
      <c r="M21" s="11"/>
      <c r="N21" s="11"/>
      <c r="O21" s="11"/>
      <c r="P21" s="11"/>
    </row>
    <row r="22" spans="1:16" x14ac:dyDescent="0.3">
      <c r="A22" s="156" t="s">
        <v>19</v>
      </c>
      <c r="B22" s="156"/>
      <c r="C22" s="156"/>
      <c r="D22" s="22" t="str">
        <f>TTCHUNG!D7</f>
        <v>Nguyễn Trung Hiếu</v>
      </c>
      <c r="G22" s="25"/>
      <c r="H22" s="168" t="s">
        <v>21</v>
      </c>
      <c r="I22" s="168"/>
      <c r="J22" s="65" t="str">
        <f>TTCHUNG!C9</f>
        <v xml:space="preserve">06/12/1987 </v>
      </c>
    </row>
    <row r="23" spans="1:16" x14ac:dyDescent="0.3">
      <c r="A23" s="156" t="s">
        <v>34</v>
      </c>
      <c r="B23" s="156"/>
      <c r="C23" s="156"/>
      <c r="D23" s="25" t="str">
        <f>TTCHUNG!C11</f>
        <v>Nam Hồng , Nam Sách , Hải Dương</v>
      </c>
      <c r="E23" s="25"/>
      <c r="F23" s="25"/>
      <c r="G23" s="25"/>
      <c r="H23" s="25"/>
      <c r="I23" s="25"/>
      <c r="J23" s="25"/>
    </row>
    <row r="24" spans="1:16" ht="19.5" x14ac:dyDescent="0.35">
      <c r="A24" s="45" t="s">
        <v>40</v>
      </c>
      <c r="B24" s="25"/>
      <c r="C24" s="25"/>
      <c r="D24" s="32" t="str">
        <f>TTCHUNG!C13</f>
        <v>Lừa đảo chiếm đoạt tài sản</v>
      </c>
      <c r="F24" s="25"/>
      <c r="G24" s="25"/>
      <c r="H24" s="25"/>
      <c r="I24" s="25"/>
      <c r="J24" s="25"/>
      <c r="L24" s="11"/>
      <c r="M24" s="11"/>
      <c r="N24" s="11"/>
      <c r="O24" s="11"/>
      <c r="P24" s="11"/>
    </row>
    <row r="25" spans="1:16" ht="19.5" customHeight="1" x14ac:dyDescent="0.3">
      <c r="A25" s="168" t="s">
        <v>56</v>
      </c>
      <c r="B25" s="168"/>
      <c r="C25" s="170" t="str">
        <f>TTCHUNG!C14</f>
        <v>16/01/2025</v>
      </c>
      <c r="D25" s="171"/>
      <c r="E25" s="171"/>
      <c r="F25" s="25"/>
      <c r="G25" s="25"/>
      <c r="H25" s="141"/>
      <c r="I25" s="141"/>
      <c r="J25" s="25"/>
      <c r="L25" s="11"/>
      <c r="M25" s="11"/>
      <c r="N25" s="11"/>
      <c r="O25" s="11"/>
      <c r="P25" s="11"/>
    </row>
    <row r="26" spans="1:16" x14ac:dyDescent="0.25">
      <c r="A26" s="42" t="s">
        <v>38</v>
      </c>
      <c r="B26" s="37"/>
      <c r="C26" s="37"/>
      <c r="D26" s="37"/>
      <c r="E26" s="166" t="str">
        <f>F19</f>
        <v>Trần Văn Dương</v>
      </c>
      <c r="F26" s="166"/>
      <c r="G26" s="37" t="s">
        <v>39</v>
      </c>
      <c r="H26" s="37"/>
      <c r="I26" s="37"/>
      <c r="J26" s="37"/>
      <c r="L26" s="11"/>
      <c r="M26" s="11"/>
      <c r="N26" s="11"/>
      <c r="O26" s="11"/>
      <c r="P26" s="11"/>
    </row>
    <row r="27" spans="1:16" s="46" customFormat="1" x14ac:dyDescent="0.3">
      <c r="A27" s="25" t="s">
        <v>42</v>
      </c>
      <c r="L27" s="11"/>
      <c r="M27" s="11"/>
      <c r="N27" s="11"/>
      <c r="O27" s="11"/>
      <c r="P27" s="11"/>
    </row>
    <row r="28" spans="1:16" s="46" customFormat="1" x14ac:dyDescent="0.3">
      <c r="A28" s="25"/>
      <c r="L28" s="11"/>
      <c r="M28" s="11"/>
      <c r="N28" s="11"/>
      <c r="O28" s="11"/>
      <c r="P28" s="11"/>
    </row>
    <row r="29" spans="1:16" x14ac:dyDescent="0.3">
      <c r="A29" s="169"/>
      <c r="B29" s="169"/>
      <c r="C29" s="169"/>
      <c r="D29" s="169"/>
      <c r="E29" s="169"/>
      <c r="F29" s="165" t="s">
        <v>41</v>
      </c>
      <c r="G29" s="165"/>
      <c r="H29" s="165"/>
      <c r="I29" s="165"/>
      <c r="J29" s="165"/>
    </row>
    <row r="30" spans="1:16" ht="18.75" customHeight="1" x14ac:dyDescent="0.3">
      <c r="A30" s="167"/>
      <c r="B30" s="167"/>
      <c r="C30" s="167"/>
      <c r="D30" s="167"/>
      <c r="E30" s="167"/>
      <c r="F30" s="167" t="s">
        <v>78</v>
      </c>
      <c r="G30" s="167"/>
      <c r="H30" s="167"/>
      <c r="I30" s="167"/>
      <c r="J30" s="167"/>
    </row>
    <row r="31" spans="1:16" x14ac:dyDescent="0.3">
      <c r="H31" s="142"/>
    </row>
    <row r="32" spans="1:16" x14ac:dyDescent="0.3">
      <c r="A32" s="144"/>
      <c r="H32" s="28"/>
    </row>
    <row r="33" spans="1:10" x14ac:dyDescent="0.3">
      <c r="A33" s="144"/>
      <c r="H33" s="28"/>
    </row>
    <row r="34" spans="1:10" x14ac:dyDescent="0.3">
      <c r="H34" s="28"/>
    </row>
    <row r="35" spans="1:10" x14ac:dyDescent="0.3">
      <c r="H35" s="146"/>
    </row>
    <row r="36" spans="1:10" x14ac:dyDescent="0.3">
      <c r="A36" s="29"/>
      <c r="F36" s="161" t="s">
        <v>91</v>
      </c>
      <c r="G36" s="161"/>
      <c r="H36" s="161"/>
      <c r="I36" s="161"/>
      <c r="J36" s="161"/>
    </row>
    <row r="40" spans="1:10" ht="13.5" customHeight="1" x14ac:dyDescent="0.3"/>
    <row r="46" spans="1:10" ht="18.75" customHeight="1" x14ac:dyDescent="0.3">
      <c r="A46" s="165" t="s">
        <v>43</v>
      </c>
      <c r="B46" s="165"/>
      <c r="C46" s="165"/>
      <c r="D46" s="165"/>
      <c r="E46" s="165"/>
      <c r="F46" s="165"/>
      <c r="G46" s="165"/>
      <c r="H46" s="165"/>
      <c r="I46" s="165"/>
      <c r="J46" s="165"/>
    </row>
    <row r="48" spans="1:10" x14ac:dyDescent="0.3">
      <c r="A48" s="161" t="s">
        <v>142</v>
      </c>
      <c r="B48" s="161"/>
      <c r="C48" s="161"/>
      <c r="D48" s="161"/>
      <c r="E48" s="161"/>
      <c r="F48" s="139" t="s">
        <v>11</v>
      </c>
      <c r="G48" s="171" t="s">
        <v>139</v>
      </c>
      <c r="H48" s="171"/>
      <c r="I48" s="138"/>
      <c r="J48" s="138"/>
    </row>
    <row r="49" spans="1:6" x14ac:dyDescent="0.3">
      <c r="A49" s="156" t="s">
        <v>44</v>
      </c>
      <c r="B49" s="156"/>
      <c r="C49" s="156"/>
      <c r="D49" s="25" t="s">
        <v>14</v>
      </c>
    </row>
    <row r="50" spans="1:6" x14ac:dyDescent="0.3">
      <c r="A50" s="156" t="s">
        <v>45</v>
      </c>
      <c r="B50" s="156"/>
      <c r="C50" s="156"/>
      <c r="D50" s="25" t="s">
        <v>92</v>
      </c>
    </row>
    <row r="51" spans="1:6" x14ac:dyDescent="0.3">
      <c r="A51" s="156" t="s">
        <v>77</v>
      </c>
      <c r="B51" s="156"/>
      <c r="C51" s="156"/>
      <c r="D51" s="156"/>
      <c r="E51" s="25" t="s">
        <v>47</v>
      </c>
    </row>
    <row r="52" spans="1:6" x14ac:dyDescent="0.3">
      <c r="A52" s="25" t="s">
        <v>46</v>
      </c>
      <c r="B52" s="25"/>
      <c r="C52" s="25"/>
      <c r="D52" s="25"/>
      <c r="E52" s="25"/>
    </row>
    <row r="53" spans="1:6" x14ac:dyDescent="0.3">
      <c r="A53" s="25" t="str">
        <f>"              ngày "&amp;LEFT(TTCHUNG!C15,2)&amp;" tháng "&amp;MID(TTCHUNG!C15,4,2)&amp;" năm 2026"</f>
        <v xml:space="preserve">              ngày  tháng  năm 2026</v>
      </c>
    </row>
    <row r="54" spans="1:6" x14ac:dyDescent="0.3">
      <c r="A54" s="22" t="s">
        <v>49</v>
      </c>
      <c r="E54" s="48">
        <f>TTCHUNG!C4</f>
        <v>0</v>
      </c>
    </row>
    <row r="55" spans="1:6" x14ac:dyDescent="0.3">
      <c r="A55" s="25" t="s">
        <v>50</v>
      </c>
    </row>
    <row r="56" spans="1:6" x14ac:dyDescent="0.3">
      <c r="A56" s="25" t="s">
        <v>52</v>
      </c>
    </row>
    <row r="57" spans="1:6" x14ac:dyDescent="0.3">
      <c r="A57" s="25" t="s">
        <v>51</v>
      </c>
      <c r="B57" s="49"/>
      <c r="F57" s="47"/>
    </row>
    <row r="58" spans="1:6" ht="21.95" customHeight="1" x14ac:dyDescent="0.3">
      <c r="A58" s="4" t="s">
        <v>137</v>
      </c>
    </row>
    <row r="59" spans="1:6" ht="21.95" customHeight="1" x14ac:dyDescent="0.3">
      <c r="A59" s="4" t="s">
        <v>138</v>
      </c>
    </row>
    <row r="60" spans="1:6" ht="21.95" customHeight="1" x14ac:dyDescent="0.3">
      <c r="A60" s="4" t="s">
        <v>53</v>
      </c>
    </row>
    <row r="61" spans="1:6" ht="21.95" customHeight="1" x14ac:dyDescent="0.3">
      <c r="A61" s="4" t="s">
        <v>53</v>
      </c>
    </row>
    <row r="62" spans="1:6" ht="21.95" customHeight="1" x14ac:dyDescent="0.3">
      <c r="A62" s="4" t="s">
        <v>53</v>
      </c>
    </row>
    <row r="63" spans="1:6" ht="21.95" customHeight="1" x14ac:dyDescent="0.3">
      <c r="A63" s="4" t="s">
        <v>53</v>
      </c>
    </row>
    <row r="64" spans="1:6" ht="21.95" customHeight="1" x14ac:dyDescent="0.3">
      <c r="A64" s="4" t="s">
        <v>53</v>
      </c>
    </row>
    <row r="65" spans="1:16" ht="21.95" customHeight="1" x14ac:dyDescent="0.3">
      <c r="A65" s="4" t="s">
        <v>53</v>
      </c>
    </row>
    <row r="66" spans="1:16" ht="21.95" customHeight="1" x14ac:dyDescent="0.3">
      <c r="A66" s="4" t="s">
        <v>53</v>
      </c>
    </row>
    <row r="67" spans="1:16" ht="21.95" customHeight="1" x14ac:dyDescent="0.3">
      <c r="A67" s="4" t="s">
        <v>53</v>
      </c>
    </row>
    <row r="68" spans="1:16" ht="21.95" customHeight="1" x14ac:dyDescent="0.3">
      <c r="A68" s="4" t="s">
        <v>53</v>
      </c>
    </row>
    <row r="69" spans="1:16" ht="21.95" customHeight="1" x14ac:dyDescent="0.3">
      <c r="A69" s="4" t="s">
        <v>53</v>
      </c>
    </row>
    <row r="70" spans="1:16" ht="21.95" customHeight="1" x14ac:dyDescent="0.3">
      <c r="A70" s="4" t="s">
        <v>53</v>
      </c>
    </row>
    <row r="72" spans="1:16" s="22" customFormat="1" x14ac:dyDescent="0.3">
      <c r="A72" s="161" t="s">
        <v>79</v>
      </c>
      <c r="B72" s="161"/>
      <c r="C72" s="161"/>
      <c r="D72" s="161"/>
      <c r="E72" s="161"/>
      <c r="F72" s="161" t="s">
        <v>54</v>
      </c>
      <c r="G72" s="161"/>
      <c r="H72" s="161"/>
      <c r="I72" s="161"/>
      <c r="J72" s="161"/>
      <c r="L72" s="1"/>
      <c r="M72" s="1"/>
      <c r="N72" s="1"/>
      <c r="O72" s="1"/>
      <c r="P72" s="1"/>
    </row>
    <row r="73" spans="1:16" s="50" customFormat="1" x14ac:dyDescent="0.3">
      <c r="A73" s="167" t="s">
        <v>78</v>
      </c>
      <c r="B73" s="167"/>
      <c r="C73" s="167"/>
      <c r="D73" s="167"/>
      <c r="E73" s="167"/>
      <c r="F73" s="172" t="s">
        <v>23</v>
      </c>
      <c r="G73" s="172"/>
      <c r="H73" s="172"/>
      <c r="I73" s="172"/>
      <c r="J73" s="172"/>
      <c r="L73" s="1"/>
      <c r="M73" s="1"/>
      <c r="N73" s="1"/>
      <c r="O73" s="1"/>
      <c r="P73" s="1"/>
    </row>
    <row r="74" spans="1:16" s="22" customFormat="1" x14ac:dyDescent="0.3">
      <c r="L74" s="1"/>
      <c r="M74" s="1"/>
      <c r="N74" s="1"/>
      <c r="O74" s="1"/>
      <c r="P74" s="1"/>
    </row>
    <row r="75" spans="1:16" s="22" customFormat="1" x14ac:dyDescent="0.3">
      <c r="L75" s="1"/>
      <c r="M75" s="1"/>
      <c r="N75" s="1"/>
      <c r="O75" s="1"/>
      <c r="P75" s="1"/>
    </row>
    <row r="76" spans="1:16" s="22" customFormat="1" x14ac:dyDescent="0.3">
      <c r="L76" s="1"/>
      <c r="M76" s="1"/>
      <c r="N76" s="1"/>
      <c r="O76" s="1"/>
      <c r="P76" s="1"/>
    </row>
    <row r="77" spans="1:16" s="22" customFormat="1" x14ac:dyDescent="0.3">
      <c r="L77" s="1"/>
      <c r="M77" s="1"/>
      <c r="N77" s="1"/>
      <c r="O77" s="1"/>
      <c r="P77" s="1"/>
    </row>
    <row r="78" spans="1:16" s="22" customFormat="1" x14ac:dyDescent="0.3">
      <c r="L78" s="1"/>
      <c r="M78" s="1"/>
      <c r="N78" s="1"/>
      <c r="O78" s="1"/>
      <c r="P78" s="1"/>
    </row>
    <row r="79" spans="1:16" s="22" customFormat="1" x14ac:dyDescent="0.3">
      <c r="L79" s="1"/>
      <c r="M79" s="1"/>
      <c r="N79" s="1"/>
      <c r="O79" s="1"/>
      <c r="P79" s="1"/>
    </row>
    <row r="80" spans="1:16" s="22" customFormat="1" x14ac:dyDescent="0.3">
      <c r="F80" s="161" t="s">
        <v>143</v>
      </c>
      <c r="G80" s="161"/>
      <c r="H80" s="161"/>
      <c r="I80" s="161"/>
      <c r="J80" s="161"/>
      <c r="L80" s="1"/>
      <c r="M80" s="1"/>
      <c r="N80" s="1"/>
      <c r="O80" s="1"/>
      <c r="P80" s="1"/>
    </row>
    <row r="81" spans="12:16" s="22" customFormat="1" x14ac:dyDescent="0.3">
      <c r="L81" s="1"/>
      <c r="M81" s="1"/>
      <c r="N81" s="1"/>
      <c r="O81" s="1"/>
      <c r="P81" s="1"/>
    </row>
  </sheetData>
  <mergeCells count="39">
    <mergeCell ref="F80:J80"/>
    <mergeCell ref="A49:C49"/>
    <mergeCell ref="A50:C50"/>
    <mergeCell ref="A51:D51"/>
    <mergeCell ref="A72:E72"/>
    <mergeCell ref="F72:J72"/>
    <mergeCell ref="A73:E73"/>
    <mergeCell ref="F73:J73"/>
    <mergeCell ref="A30:E30"/>
    <mergeCell ref="F30:J30"/>
    <mergeCell ref="F36:J36"/>
    <mergeCell ref="A46:J46"/>
    <mergeCell ref="A48:E48"/>
    <mergeCell ref="G48:H48"/>
    <mergeCell ref="A23:C23"/>
    <mergeCell ref="A25:B25"/>
    <mergeCell ref="C25:E25"/>
    <mergeCell ref="E26:F26"/>
    <mergeCell ref="A29:E29"/>
    <mergeCell ref="F29:J29"/>
    <mergeCell ref="A16:J16"/>
    <mergeCell ref="A17:J17"/>
    <mergeCell ref="A18:J18"/>
    <mergeCell ref="A20:B20"/>
    <mergeCell ref="A22:C22"/>
    <mergeCell ref="H22:I22"/>
    <mergeCell ref="A15:J15"/>
    <mergeCell ref="A4:D4"/>
    <mergeCell ref="E4:J4"/>
    <mergeCell ref="A5:D5"/>
    <mergeCell ref="E5:J5"/>
    <mergeCell ref="A6:D6"/>
    <mergeCell ref="A7:D7"/>
    <mergeCell ref="E7:J7"/>
    <mergeCell ref="A9:J9"/>
    <mergeCell ref="B10:I10"/>
    <mergeCell ref="A12:D12"/>
    <mergeCell ref="A13:B13"/>
    <mergeCell ref="A14:J14"/>
  </mergeCells>
  <printOptions horizontalCentered="1" verticalCentered="1"/>
  <pageMargins left="1.1811023622047245" right="0.78740157480314965" top="0.78740157480314965" bottom="0.78740157480314965" header="0.31496062992125984" footer="0.31496062992125984"/>
  <pageSetup paperSize="9" scale="84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M66"/>
  <sheetViews>
    <sheetView view="pageBreakPreview" zoomScaleNormal="100" zoomScaleSheetLayoutView="100" workbookViewId="0">
      <selection activeCell="A8" sqref="A8:K8"/>
    </sheetView>
  </sheetViews>
  <sheetFormatPr defaultRowHeight="15" x14ac:dyDescent="0.25"/>
  <cols>
    <col min="1" max="1" width="9" customWidth="1"/>
    <col min="2" max="2" width="2.28515625" customWidth="1"/>
    <col min="3" max="3" width="3.85546875" customWidth="1"/>
    <col min="4" max="4" width="5.85546875" customWidth="1"/>
    <col min="7" max="7" width="11.5703125" customWidth="1"/>
    <col min="8" max="8" width="11" customWidth="1"/>
    <col min="9" max="9" width="12.140625" customWidth="1"/>
    <col min="10" max="10" width="10.140625" customWidth="1"/>
  </cols>
  <sheetData>
    <row r="1" spans="1:13" ht="18.75" x14ac:dyDescent="0.3">
      <c r="A1" s="161" t="s">
        <v>16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3" ht="18.75" x14ac:dyDescent="0.3">
      <c r="A2" s="161" t="s">
        <v>94</v>
      </c>
      <c r="B2" s="161"/>
      <c r="C2" s="161"/>
      <c r="D2" s="161"/>
      <c r="E2" s="161"/>
      <c r="F2" s="161"/>
      <c r="G2" s="161"/>
      <c r="H2" s="161"/>
      <c r="I2" s="161"/>
      <c r="J2" s="161"/>
      <c r="K2" s="161"/>
    </row>
    <row r="3" spans="1:13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</row>
    <row r="4" spans="1:13" ht="18.75" x14ac:dyDescent="0.25">
      <c r="A4" s="162" t="s">
        <v>17</v>
      </c>
      <c r="B4" s="162"/>
      <c r="C4" s="162"/>
      <c r="D4" s="162"/>
      <c r="E4" s="162"/>
      <c r="F4" s="162"/>
      <c r="G4" s="162"/>
      <c r="H4" s="162"/>
      <c r="I4" s="162"/>
      <c r="J4" s="162"/>
      <c r="K4" s="162"/>
    </row>
    <row r="5" spans="1:13" ht="18.75" x14ac:dyDescent="0.3">
      <c r="A5" s="161" t="s">
        <v>105</v>
      </c>
      <c r="B5" s="161"/>
      <c r="C5" s="161"/>
      <c r="D5" s="161"/>
      <c r="E5" s="161"/>
      <c r="F5" s="161"/>
      <c r="G5" s="161"/>
      <c r="H5" s="161"/>
      <c r="I5" s="161"/>
      <c r="J5" s="161"/>
      <c r="K5" s="161"/>
    </row>
    <row r="6" spans="1:13" ht="18.75" x14ac:dyDescent="0.3">
      <c r="A6" s="94"/>
      <c r="B6" s="94"/>
      <c r="C6" s="94"/>
      <c r="D6" s="94"/>
      <c r="E6" s="94"/>
      <c r="F6" s="94"/>
      <c r="G6" s="94"/>
      <c r="H6" s="94"/>
      <c r="I6" s="94"/>
      <c r="J6" s="94"/>
      <c r="K6" s="94"/>
      <c r="M6" s="102"/>
    </row>
    <row r="7" spans="1:13" ht="18.75" customHeight="1" x14ac:dyDescent="0.25">
      <c r="A7" s="163" t="str">
        <f>"     Hồi        giờ        phút, ngày "&amp;TTCHUNG!C15&amp;" tại Trại tạm giam - Công an tỉnh."</f>
        <v xml:space="preserve">     Hồi        giờ        phút, ngày  tại Trại tạm giam - Công an tỉnh.</v>
      </c>
      <c r="B7" s="163"/>
      <c r="C7" s="163" t="s">
        <v>24</v>
      </c>
      <c r="D7" s="163"/>
      <c r="E7" s="163"/>
      <c r="F7" s="163"/>
      <c r="G7" s="163"/>
      <c r="H7" s="163"/>
      <c r="I7" s="163"/>
      <c r="J7" s="163"/>
      <c r="K7" s="163"/>
    </row>
    <row r="8" spans="1:13" ht="36.75" customHeight="1" x14ac:dyDescent="0.25">
      <c r="A8" s="164" t="str">
        <f>"     Căn cứ  Theo Quyết định tạm giữ số "&amp;TTCHUNG!E20 &amp;" ngày " &amp;TTCHUNG!F20&amp; " của Cơ quan " &amp;TTCHUNG!G20&amp;" - Công an tỉnh Quảng Ninh"</f>
        <v xml:space="preserve">     Căn cứ  Theo Quyết định tạm giữ số 92 ngày 16/01/2025 của Cơ quan  Cơ quan CSĐT - Công an tỉnh Quảng Ninh</v>
      </c>
      <c r="B8" s="164"/>
      <c r="C8" s="164"/>
      <c r="D8" s="164"/>
      <c r="E8" s="164"/>
      <c r="F8" s="164"/>
      <c r="G8" s="164"/>
      <c r="H8" s="164"/>
      <c r="I8" s="164"/>
      <c r="J8" s="164"/>
      <c r="K8" s="164"/>
    </row>
    <row r="9" spans="1:13" ht="18.75" x14ac:dyDescent="0.3">
      <c r="A9" s="22" t="s">
        <v>106</v>
      </c>
      <c r="B9" s="22"/>
      <c r="C9" s="25"/>
      <c r="D9" s="25"/>
      <c r="E9" s="25"/>
      <c r="F9" s="25"/>
      <c r="G9" s="25"/>
      <c r="H9" s="25"/>
      <c r="I9" s="25"/>
      <c r="J9" s="25"/>
      <c r="K9" s="25"/>
    </row>
    <row r="10" spans="1:13" ht="18.75" x14ac:dyDescent="0.3">
      <c r="A10" s="25" t="s">
        <v>107</v>
      </c>
      <c r="B10" s="4"/>
      <c r="C10" s="22" t="s">
        <v>155</v>
      </c>
      <c r="D10" s="25"/>
      <c r="E10" s="25"/>
      <c r="F10" s="25"/>
      <c r="G10" s="25"/>
      <c r="H10" s="25" t="s">
        <v>12</v>
      </c>
      <c r="I10" s="25" t="s">
        <v>14</v>
      </c>
      <c r="J10" s="25"/>
      <c r="K10" s="25"/>
    </row>
    <row r="11" spans="1:13" ht="18.75" x14ac:dyDescent="0.3">
      <c r="A11" s="25" t="s">
        <v>108</v>
      </c>
      <c r="B11" s="4"/>
      <c r="C11" s="25" t="s">
        <v>156</v>
      </c>
      <c r="D11" s="25"/>
      <c r="E11" s="25"/>
      <c r="F11" s="25"/>
      <c r="G11" s="25"/>
      <c r="H11" s="25"/>
      <c r="I11" s="25"/>
      <c r="J11" s="25"/>
      <c r="K11" s="25"/>
    </row>
    <row r="12" spans="1:13" ht="18.75" x14ac:dyDescent="0.3">
      <c r="A12" s="25" t="s">
        <v>153</v>
      </c>
      <c r="B12" s="25"/>
      <c r="C12" s="25"/>
      <c r="D12" s="25"/>
      <c r="E12" s="25"/>
      <c r="F12" s="25"/>
      <c r="G12" s="25"/>
      <c r="H12" s="25"/>
      <c r="I12" s="25"/>
      <c r="J12" s="25"/>
      <c r="K12" s="25"/>
    </row>
    <row r="13" spans="1:13" ht="18.75" x14ac:dyDescent="0.3">
      <c r="A13" s="25" t="s">
        <v>109</v>
      </c>
      <c r="B13" s="25"/>
      <c r="C13" s="25"/>
      <c r="D13" s="25"/>
      <c r="E13" s="25"/>
      <c r="F13" s="25"/>
      <c r="G13" s="25"/>
      <c r="H13" s="25"/>
      <c r="I13" s="25"/>
      <c r="J13" s="25"/>
      <c r="K13" s="25"/>
    </row>
    <row r="14" spans="1:13" ht="18.75" x14ac:dyDescent="0.3">
      <c r="A14" s="22" t="s">
        <v>110</v>
      </c>
      <c r="B14" s="103"/>
      <c r="C14" s="22"/>
      <c r="D14" s="22"/>
      <c r="E14" s="22"/>
      <c r="F14" s="22"/>
      <c r="G14" s="22"/>
      <c r="H14" s="22"/>
      <c r="I14" s="22"/>
      <c r="J14" s="22"/>
      <c r="K14" s="22"/>
    </row>
    <row r="15" spans="1:13" ht="18.75" x14ac:dyDescent="0.3">
      <c r="A15" s="25" t="s">
        <v>19</v>
      </c>
      <c r="B15" s="4"/>
      <c r="C15" s="22" t="s">
        <v>150</v>
      </c>
      <c r="D15" s="25"/>
      <c r="E15" s="25"/>
      <c r="F15" s="25"/>
      <c r="G15" s="25"/>
      <c r="H15" s="25" t="s">
        <v>12</v>
      </c>
      <c r="I15" s="25" t="s">
        <v>14</v>
      </c>
      <c r="J15" s="25"/>
      <c r="K15" s="25"/>
    </row>
    <row r="16" spans="1:13" ht="18.75" x14ac:dyDescent="0.3">
      <c r="A16" s="25" t="s">
        <v>108</v>
      </c>
      <c r="B16" s="25"/>
      <c r="C16" s="25" t="s">
        <v>151</v>
      </c>
      <c r="D16" s="25"/>
      <c r="E16" s="25"/>
      <c r="F16" s="25"/>
      <c r="G16" s="25"/>
      <c r="H16" s="25"/>
      <c r="I16" s="25"/>
      <c r="J16" s="25"/>
      <c r="K16" s="25"/>
    </row>
    <row r="17" spans="1:11" ht="18.75" x14ac:dyDescent="0.3">
      <c r="A17" s="25" t="s">
        <v>28</v>
      </c>
      <c r="B17" s="25"/>
      <c r="C17" s="25"/>
      <c r="D17" s="25"/>
      <c r="E17" s="25" t="s">
        <v>152</v>
      </c>
      <c r="F17" s="25"/>
      <c r="G17" s="25"/>
      <c r="H17" s="25"/>
      <c r="I17" s="25"/>
      <c r="J17" s="25"/>
      <c r="K17" s="25"/>
    </row>
    <row r="18" spans="1:11" ht="18.75" x14ac:dyDescent="0.3">
      <c r="A18" s="25" t="s">
        <v>109</v>
      </c>
      <c r="B18" s="4"/>
      <c r="C18" s="25"/>
      <c r="D18" s="25"/>
      <c r="E18" s="25"/>
      <c r="F18" s="25"/>
      <c r="G18" s="25"/>
      <c r="H18" s="25"/>
      <c r="I18" s="25"/>
      <c r="J18" s="25"/>
      <c r="K18" s="25"/>
    </row>
    <row r="19" spans="1:11" ht="18.75" x14ac:dyDescent="0.3">
      <c r="A19" s="25" t="s">
        <v>111</v>
      </c>
      <c r="B19" s="25"/>
      <c r="C19" s="25"/>
      <c r="D19" s="25"/>
      <c r="E19" s="25"/>
      <c r="F19" s="25"/>
      <c r="G19" s="25"/>
      <c r="H19" s="25"/>
      <c r="I19" s="25"/>
      <c r="J19" s="25"/>
      <c r="K19" s="25"/>
    </row>
    <row r="20" spans="1:11" ht="18.75" x14ac:dyDescent="0.3">
      <c r="A20" s="25" t="s">
        <v>19</v>
      </c>
      <c r="B20" s="25"/>
      <c r="C20" s="87" t="str">
        <f>TTCHUNG!C7</f>
        <v>Nguyễn Trung Hiếu</v>
      </c>
      <c r="D20" s="25"/>
      <c r="E20" s="25"/>
      <c r="F20" s="25"/>
      <c r="G20" s="25" t="s">
        <v>20</v>
      </c>
      <c r="H20" s="25" t="str">
        <f>TTCHUNG!E9</f>
        <v>Nam</v>
      </c>
      <c r="I20" s="25" t="s">
        <v>21</v>
      </c>
      <c r="J20" s="25" t="str">
        <f>TTCHUNG!C9</f>
        <v xml:space="preserve">06/12/1987 </v>
      </c>
      <c r="K20" s="25"/>
    </row>
    <row r="21" spans="1:11" ht="18.75" x14ac:dyDescent="0.3">
      <c r="A21" s="25" t="s">
        <v>2</v>
      </c>
      <c r="B21" s="25"/>
      <c r="C21" s="25"/>
      <c r="D21" s="25" t="str">
        <f>[1]TTCHUNG!C8</f>
        <v>Không</v>
      </c>
      <c r="E21" s="25"/>
      <c r="F21" s="25"/>
      <c r="G21" s="25"/>
      <c r="H21" s="25"/>
      <c r="I21" s="25"/>
      <c r="J21" s="25"/>
      <c r="K21" s="25"/>
    </row>
    <row r="22" spans="1:11" ht="18.75" x14ac:dyDescent="0.3">
      <c r="A22" s="25" t="s">
        <v>3</v>
      </c>
      <c r="B22" s="4"/>
      <c r="C22" s="104" t="str">
        <f>[1]TTCHUNG!C10</f>
        <v>Vĩnh Bảo, Hải Phòng.</v>
      </c>
      <c r="D22" s="25"/>
      <c r="E22" s="25"/>
      <c r="F22" s="25"/>
      <c r="G22" s="25"/>
      <c r="H22" s="25"/>
      <c r="I22" s="25"/>
      <c r="J22" s="25"/>
      <c r="K22" s="25"/>
    </row>
    <row r="23" spans="1:11" ht="18.75" x14ac:dyDescent="0.3">
      <c r="A23" s="25" t="s">
        <v>4</v>
      </c>
      <c r="B23" s="25"/>
      <c r="C23" s="25"/>
      <c r="D23" s="25" t="str">
        <f>TTCHUNG!C11</f>
        <v>Nam Hồng , Nam Sách , Hải Dương</v>
      </c>
      <c r="E23" s="25"/>
      <c r="F23" s="25"/>
      <c r="G23" s="25"/>
      <c r="H23" s="25"/>
      <c r="I23" s="25"/>
      <c r="J23" s="25"/>
      <c r="K23" s="25"/>
    </row>
    <row r="24" spans="1:11" ht="18.75" x14ac:dyDescent="0.3">
      <c r="A24" s="25" t="s">
        <v>6</v>
      </c>
      <c r="B24" s="25"/>
      <c r="C24" s="25" t="str">
        <f>TTCHUNG!C12</f>
        <v>Kinh</v>
      </c>
      <c r="D24" s="25"/>
      <c r="E24" s="25"/>
      <c r="F24" s="25"/>
      <c r="G24" s="25" t="s">
        <v>7</v>
      </c>
      <c r="H24" s="25" t="str">
        <f>[1]TTCHUNG!E12</f>
        <v>Việt Nam.</v>
      </c>
      <c r="I24" s="25"/>
      <c r="J24" s="25"/>
      <c r="K24" s="25"/>
    </row>
    <row r="25" spans="1:11" ht="19.5" x14ac:dyDescent="0.35">
      <c r="A25" s="25" t="s">
        <v>18</v>
      </c>
      <c r="B25" s="25"/>
      <c r="C25" s="25"/>
      <c r="D25" s="25"/>
      <c r="E25" s="32" t="str">
        <f>TTCHUNG!C13</f>
        <v>Lừa đảo chiếm đoạt tài sản</v>
      </c>
      <c r="F25" s="25"/>
      <c r="G25" s="25"/>
      <c r="H25" s="25"/>
      <c r="I25" s="25"/>
      <c r="J25" s="25"/>
      <c r="K25" s="25"/>
    </row>
    <row r="26" spans="1:11" ht="18.75" x14ac:dyDescent="0.3">
      <c r="A26" s="25" t="s">
        <v>25</v>
      </c>
      <c r="B26" s="25"/>
      <c r="C26" s="25" t="s">
        <v>112</v>
      </c>
      <c r="D26" s="25"/>
      <c r="E26" s="25"/>
      <c r="F26" s="25"/>
      <c r="G26" s="25" t="s">
        <v>113</v>
      </c>
      <c r="H26" s="25" t="s">
        <v>114</v>
      </c>
      <c r="I26" s="25"/>
      <c r="J26" s="25"/>
      <c r="K26" s="25"/>
    </row>
    <row r="27" spans="1:11" ht="18.75" x14ac:dyDescent="0.3">
      <c r="A27" s="25" t="s">
        <v>157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</row>
    <row r="28" spans="1:11" ht="37.5" customHeight="1" x14ac:dyDescent="0.25">
      <c r="A28" s="163" t="str">
        <f>"     Biên bản lập xong hồi         giờ      phút, ngày "&amp;TTCHUNG!C15&amp;", đã đọc lại cho những người có tên trong biên bản nghe, đồng ý với nội dung biên bản và ký tên dưới đây./."</f>
        <v xml:space="preserve">     Biên bản lập xong hồi         giờ      phút, ngày , đã đọc lại cho những người có tên trong biên bản nghe, đồng ý với nội dung biên bản và ký tên dưới đây./.</v>
      </c>
      <c r="B28" s="163"/>
      <c r="C28" s="163"/>
      <c r="D28" s="163"/>
      <c r="E28" s="163"/>
      <c r="F28" s="163"/>
      <c r="G28" s="163"/>
      <c r="H28" s="163"/>
      <c r="I28" s="163"/>
      <c r="J28" s="163"/>
      <c r="K28" s="163"/>
    </row>
    <row r="29" spans="1:11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</row>
    <row r="30" spans="1:11" ht="15.75" x14ac:dyDescent="0.25">
      <c r="A30" s="169" t="s">
        <v>136</v>
      </c>
      <c r="B30" s="169"/>
      <c r="C30" s="169"/>
      <c r="D30" s="169"/>
      <c r="E30" s="169"/>
      <c r="F30" s="169" t="s">
        <v>115</v>
      </c>
      <c r="G30" s="169"/>
      <c r="H30" s="169"/>
      <c r="I30" s="169" t="s">
        <v>116</v>
      </c>
      <c r="J30" s="169"/>
      <c r="K30" s="169"/>
    </row>
    <row r="31" spans="1:11" x14ac:dyDescent="0.25">
      <c r="A31" s="167" t="s">
        <v>117</v>
      </c>
      <c r="B31" s="167"/>
      <c r="C31" s="167"/>
      <c r="D31" s="167"/>
      <c r="E31" s="167"/>
      <c r="F31" s="167" t="s">
        <v>23</v>
      </c>
      <c r="G31" s="167"/>
      <c r="H31" s="167"/>
      <c r="I31" s="167" t="s">
        <v>23</v>
      </c>
      <c r="J31" s="167"/>
      <c r="K31" s="167"/>
    </row>
    <row r="32" spans="1:11" ht="15.75" x14ac:dyDescent="0.25">
      <c r="A32" s="23"/>
      <c r="B32" s="23"/>
      <c r="C32" s="23"/>
      <c r="D32" s="23"/>
      <c r="E32" s="23"/>
      <c r="F32" s="23"/>
      <c r="G32" s="23"/>
      <c r="H32" s="23"/>
      <c r="I32" s="99"/>
      <c r="J32" s="23"/>
      <c r="K32" s="23"/>
    </row>
    <row r="33" spans="1:11" ht="15.75" x14ac:dyDescent="0.25">
      <c r="A33" s="23"/>
      <c r="B33" s="23"/>
      <c r="C33" s="23"/>
      <c r="D33" s="23"/>
      <c r="E33" s="23"/>
      <c r="F33" s="23"/>
      <c r="G33" s="23"/>
      <c r="H33" s="23"/>
      <c r="I33" s="28"/>
      <c r="J33" s="23"/>
      <c r="K33" s="23"/>
    </row>
    <row r="34" spans="1:11" ht="15.75" x14ac:dyDescent="0.25">
      <c r="A34" s="23"/>
      <c r="B34" s="23"/>
      <c r="C34" s="23"/>
      <c r="D34" s="23"/>
      <c r="E34" s="23"/>
      <c r="F34" s="23"/>
      <c r="G34" s="23"/>
      <c r="H34" s="23"/>
      <c r="I34" s="28"/>
      <c r="J34" s="23"/>
      <c r="K34" s="23"/>
    </row>
    <row r="35" spans="1:11" ht="15.75" x14ac:dyDescent="0.25">
      <c r="A35" s="23"/>
      <c r="B35" s="23"/>
      <c r="C35" s="23"/>
      <c r="D35" s="23"/>
      <c r="E35" s="23"/>
      <c r="F35" s="23"/>
      <c r="G35" s="23"/>
      <c r="H35" s="23"/>
      <c r="I35" s="28"/>
      <c r="J35" s="23"/>
      <c r="K35" s="23"/>
    </row>
    <row r="36" spans="1:11" ht="15.75" x14ac:dyDescent="0.25">
      <c r="A36" s="23"/>
      <c r="B36" s="23"/>
      <c r="C36" s="23"/>
      <c r="D36" s="23"/>
      <c r="E36" s="23"/>
      <c r="F36" s="23"/>
      <c r="G36" s="23"/>
      <c r="H36" s="23"/>
      <c r="I36" s="76"/>
      <c r="J36" s="23"/>
      <c r="K36" s="23"/>
    </row>
    <row r="37" spans="1:11" ht="18.75" x14ac:dyDescent="0.3">
      <c r="A37" s="23"/>
      <c r="B37" s="23"/>
      <c r="C37" s="23"/>
      <c r="D37" s="23"/>
      <c r="E37" s="23"/>
      <c r="F37" s="161"/>
      <c r="G37" s="161"/>
      <c r="H37" s="161"/>
      <c r="I37" s="165"/>
      <c r="J37" s="165"/>
      <c r="K37" s="165"/>
    </row>
    <row r="38" spans="1:11" x14ac:dyDescent="0.25">
      <c r="A38" s="105" t="s">
        <v>99</v>
      </c>
      <c r="B38" s="105"/>
      <c r="C38" s="23"/>
      <c r="D38" s="23"/>
      <c r="E38" s="23"/>
      <c r="F38" s="23"/>
      <c r="G38" s="23"/>
      <c r="H38" s="23"/>
      <c r="I38" s="23"/>
      <c r="J38" s="23"/>
      <c r="K38" s="23"/>
    </row>
    <row r="39" spans="1:11" x14ac:dyDescent="0.25">
      <c r="A39" s="106" t="s">
        <v>118</v>
      </c>
      <c r="B39" s="106"/>
      <c r="C39" s="23"/>
      <c r="D39" s="23"/>
      <c r="E39" s="23"/>
      <c r="F39" s="23"/>
      <c r="G39" s="23"/>
      <c r="H39" s="23"/>
      <c r="I39" s="23"/>
      <c r="J39" s="23"/>
      <c r="K39" s="23"/>
    </row>
    <row r="40" spans="1:11" x14ac:dyDescent="0.25">
      <c r="A40" s="29" t="s">
        <v>119</v>
      </c>
      <c r="B40" s="29"/>
      <c r="C40" s="23"/>
      <c r="D40" s="23"/>
      <c r="E40" s="23"/>
      <c r="F40" s="23"/>
      <c r="G40" s="23"/>
      <c r="H40" s="23"/>
      <c r="I40" s="23"/>
      <c r="J40" s="23"/>
      <c r="K40" s="23"/>
    </row>
    <row r="41" spans="1:11" x14ac:dyDescent="0.2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</row>
    <row r="42" spans="1:11" x14ac:dyDescent="0.2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</row>
    <row r="66" spans="5:10" ht="18.75" x14ac:dyDescent="0.3">
      <c r="E66" s="107"/>
      <c r="F66" s="107"/>
      <c r="G66" s="107"/>
      <c r="H66" s="102"/>
      <c r="I66" s="102"/>
      <c r="J66" s="102"/>
    </row>
  </sheetData>
  <mergeCells count="15">
    <mergeCell ref="F37:H37"/>
    <mergeCell ref="I37:K37"/>
    <mergeCell ref="A28:K28"/>
    <mergeCell ref="A30:E30"/>
    <mergeCell ref="F30:H30"/>
    <mergeCell ref="I30:K30"/>
    <mergeCell ref="A31:E31"/>
    <mergeCell ref="F31:H31"/>
    <mergeCell ref="I31:K31"/>
    <mergeCell ref="A8:K8"/>
    <mergeCell ref="A1:K1"/>
    <mergeCell ref="A2:K2"/>
    <mergeCell ref="A4:K4"/>
    <mergeCell ref="A5:K5"/>
    <mergeCell ref="A7:K7"/>
  </mergeCells>
  <printOptions horizontalCentered="1" verticalCentered="1"/>
  <pageMargins left="0.7" right="0.2" top="0.5" bottom="0.2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M66"/>
  <sheetViews>
    <sheetView view="pageBreakPreview" zoomScaleNormal="100" zoomScaleSheetLayoutView="100" workbookViewId="0">
      <selection activeCell="A8" sqref="A8:K8"/>
    </sheetView>
  </sheetViews>
  <sheetFormatPr defaultRowHeight="15" x14ac:dyDescent="0.25"/>
  <cols>
    <col min="1" max="1" width="9" customWidth="1"/>
    <col min="2" max="2" width="2.28515625" customWidth="1"/>
    <col min="3" max="3" width="3.85546875" customWidth="1"/>
    <col min="4" max="4" width="5.85546875" customWidth="1"/>
    <col min="7" max="7" width="11.5703125" customWidth="1"/>
    <col min="8" max="8" width="11" customWidth="1"/>
    <col min="9" max="9" width="12.140625" customWidth="1"/>
    <col min="10" max="10" width="10.140625" customWidth="1"/>
  </cols>
  <sheetData>
    <row r="1" spans="1:13" ht="18.75" x14ac:dyDescent="0.3">
      <c r="A1" s="161" t="s">
        <v>16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3" ht="18.75" x14ac:dyDescent="0.3">
      <c r="A2" s="161" t="s">
        <v>94</v>
      </c>
      <c r="B2" s="161"/>
      <c r="C2" s="161"/>
      <c r="D2" s="161"/>
      <c r="E2" s="161"/>
      <c r="F2" s="161"/>
      <c r="G2" s="161"/>
      <c r="H2" s="161"/>
      <c r="I2" s="161"/>
      <c r="J2" s="161"/>
      <c r="K2" s="161"/>
    </row>
    <row r="3" spans="1:13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</row>
    <row r="4" spans="1:13" ht="18.75" x14ac:dyDescent="0.25">
      <c r="A4" s="162" t="s">
        <v>17</v>
      </c>
      <c r="B4" s="162"/>
      <c r="C4" s="162"/>
      <c r="D4" s="162"/>
      <c r="E4" s="162"/>
      <c r="F4" s="162"/>
      <c r="G4" s="162"/>
      <c r="H4" s="162"/>
      <c r="I4" s="162"/>
      <c r="J4" s="162"/>
      <c r="K4" s="162"/>
    </row>
    <row r="5" spans="1:13" ht="18.75" x14ac:dyDescent="0.3">
      <c r="A5" s="161" t="s">
        <v>105</v>
      </c>
      <c r="B5" s="161"/>
      <c r="C5" s="161"/>
      <c r="D5" s="161"/>
      <c r="E5" s="161"/>
      <c r="F5" s="161"/>
      <c r="G5" s="161"/>
      <c r="H5" s="161"/>
      <c r="I5" s="161"/>
      <c r="J5" s="161"/>
      <c r="K5" s="161"/>
    </row>
    <row r="6" spans="1:13" ht="18.75" x14ac:dyDescent="0.3">
      <c r="A6" s="138"/>
      <c r="B6" s="138"/>
      <c r="C6" s="138"/>
      <c r="D6" s="138"/>
      <c r="E6" s="138"/>
      <c r="F6" s="138"/>
      <c r="G6" s="138"/>
      <c r="H6" s="138"/>
      <c r="I6" s="138"/>
      <c r="J6" s="138"/>
      <c r="K6" s="138"/>
      <c r="M6" s="102"/>
    </row>
    <row r="7" spans="1:13" ht="18.75" customHeight="1" x14ac:dyDescent="0.25">
      <c r="A7" s="163" t="s">
        <v>154</v>
      </c>
      <c r="B7" s="163"/>
      <c r="C7" s="163" t="s">
        <v>24</v>
      </c>
      <c r="D7" s="163"/>
      <c r="E7" s="163"/>
      <c r="F7" s="163"/>
      <c r="G7" s="163"/>
      <c r="H7" s="163"/>
      <c r="I7" s="163"/>
      <c r="J7" s="163"/>
      <c r="K7" s="163"/>
    </row>
    <row r="8" spans="1:13" ht="36.75" customHeight="1" x14ac:dyDescent="0.25">
      <c r="A8" s="164" t="str">
        <f>"     Căn cứ  Theo Lệnh bắt bị can để tạm giam số "&amp;TTCHUNG!E20 &amp;" ngày " &amp;TTCHUNG!F20&amp; " của Cơ quan " &amp;TTCHUNG!G20&amp;" - Công an tỉnh Quảng Ninh"</f>
        <v xml:space="preserve">     Căn cứ  Theo Lệnh bắt bị can để tạm giam số 92 ngày 16/01/2025 của Cơ quan  Cơ quan CSĐT - Công an tỉnh Quảng Ninh</v>
      </c>
      <c r="B8" s="164"/>
      <c r="C8" s="164"/>
      <c r="D8" s="164"/>
      <c r="E8" s="164"/>
      <c r="F8" s="164"/>
      <c r="G8" s="164"/>
      <c r="H8" s="164"/>
      <c r="I8" s="164"/>
      <c r="J8" s="164"/>
      <c r="K8" s="164"/>
    </row>
    <row r="9" spans="1:13" ht="18.75" x14ac:dyDescent="0.3">
      <c r="A9" s="22" t="s">
        <v>106</v>
      </c>
      <c r="B9" s="22"/>
      <c r="C9" s="25"/>
      <c r="D9" s="25"/>
      <c r="E9" s="25"/>
      <c r="F9" s="25"/>
      <c r="G9" s="25"/>
      <c r="H9" s="25"/>
      <c r="I9" s="25"/>
      <c r="J9" s="25"/>
      <c r="K9" s="25"/>
    </row>
    <row r="10" spans="1:13" ht="18.75" x14ac:dyDescent="0.3">
      <c r="A10" s="25" t="s">
        <v>107</v>
      </c>
      <c r="B10" s="4"/>
      <c r="C10" s="22" t="s">
        <v>155</v>
      </c>
      <c r="D10" s="25"/>
      <c r="E10" s="25"/>
      <c r="F10" s="25"/>
      <c r="G10" s="25"/>
      <c r="H10" s="25" t="s">
        <v>12</v>
      </c>
      <c r="I10" s="25" t="s">
        <v>14</v>
      </c>
      <c r="J10" s="25"/>
      <c r="K10" s="25"/>
    </row>
    <row r="11" spans="1:13" ht="18.75" x14ac:dyDescent="0.3">
      <c r="A11" s="25" t="s">
        <v>108</v>
      </c>
      <c r="B11" s="4"/>
      <c r="C11" s="25" t="s">
        <v>156</v>
      </c>
      <c r="D11" s="25"/>
      <c r="E11" s="25"/>
      <c r="F11" s="25"/>
      <c r="G11" s="25"/>
      <c r="H11" s="25"/>
      <c r="I11" s="25"/>
      <c r="J11" s="25"/>
      <c r="K11" s="25"/>
    </row>
    <row r="12" spans="1:13" ht="18.75" x14ac:dyDescent="0.3">
      <c r="A12" s="25" t="s">
        <v>153</v>
      </c>
      <c r="B12" s="25"/>
      <c r="C12" s="25"/>
      <c r="D12" s="25"/>
      <c r="E12" s="25"/>
      <c r="F12" s="25"/>
      <c r="G12" s="25"/>
      <c r="H12" s="25"/>
      <c r="I12" s="25"/>
      <c r="J12" s="25"/>
      <c r="K12" s="25"/>
    </row>
    <row r="13" spans="1:13" ht="18.75" x14ac:dyDescent="0.3">
      <c r="A13" s="25" t="s">
        <v>109</v>
      </c>
      <c r="B13" s="25"/>
      <c r="C13" s="25"/>
      <c r="D13" s="25"/>
      <c r="E13" s="25"/>
      <c r="F13" s="25"/>
      <c r="G13" s="25"/>
      <c r="H13" s="25"/>
      <c r="I13" s="25"/>
      <c r="J13" s="25"/>
      <c r="K13" s="25"/>
    </row>
    <row r="14" spans="1:13" ht="18.75" x14ac:dyDescent="0.3">
      <c r="A14" s="22" t="s">
        <v>110</v>
      </c>
      <c r="B14" s="103"/>
      <c r="C14" s="22"/>
      <c r="D14" s="22"/>
      <c r="E14" s="22"/>
      <c r="F14" s="22"/>
      <c r="G14" s="22"/>
      <c r="H14" s="22"/>
      <c r="I14" s="22"/>
      <c r="J14" s="22"/>
      <c r="K14" s="22"/>
    </row>
    <row r="15" spans="1:13" ht="18.75" x14ac:dyDescent="0.3">
      <c r="A15" s="25" t="s">
        <v>19</v>
      </c>
      <c r="B15" s="4"/>
      <c r="C15" s="22" t="s">
        <v>150</v>
      </c>
      <c r="D15" s="25"/>
      <c r="E15" s="25"/>
      <c r="F15" s="25"/>
      <c r="G15" s="25"/>
      <c r="H15" s="25" t="s">
        <v>12</v>
      </c>
      <c r="I15" s="25" t="s">
        <v>14</v>
      </c>
      <c r="J15" s="25"/>
      <c r="K15" s="25"/>
    </row>
    <row r="16" spans="1:13" ht="18.75" x14ac:dyDescent="0.3">
      <c r="A16" s="25" t="s">
        <v>108</v>
      </c>
      <c r="B16" s="25"/>
      <c r="C16" s="25" t="s">
        <v>151</v>
      </c>
      <c r="D16" s="25"/>
      <c r="E16" s="25"/>
      <c r="F16" s="25"/>
      <c r="G16" s="25"/>
      <c r="H16" s="25"/>
      <c r="I16" s="25"/>
      <c r="J16" s="25"/>
      <c r="K16" s="25"/>
    </row>
    <row r="17" spans="1:11" ht="18.75" x14ac:dyDescent="0.3">
      <c r="A17" s="25" t="s">
        <v>28</v>
      </c>
      <c r="B17" s="25"/>
      <c r="C17" s="25"/>
      <c r="D17" s="25"/>
      <c r="E17" s="25" t="s">
        <v>152</v>
      </c>
      <c r="F17" s="25"/>
      <c r="G17" s="25"/>
      <c r="H17" s="25"/>
      <c r="I17" s="25"/>
      <c r="J17" s="25"/>
      <c r="K17" s="25"/>
    </row>
    <row r="18" spans="1:11" ht="18.75" x14ac:dyDescent="0.3">
      <c r="A18" s="25" t="s">
        <v>109</v>
      </c>
      <c r="B18" s="4"/>
      <c r="C18" s="25"/>
      <c r="D18" s="25"/>
      <c r="E18" s="25"/>
      <c r="F18" s="25"/>
      <c r="G18" s="25"/>
      <c r="H18" s="25"/>
      <c r="I18" s="25"/>
      <c r="J18" s="25"/>
      <c r="K18" s="25"/>
    </row>
    <row r="19" spans="1:11" ht="18.75" x14ac:dyDescent="0.3">
      <c r="A19" s="25" t="s">
        <v>111</v>
      </c>
      <c r="B19" s="25"/>
      <c r="C19" s="25"/>
      <c r="D19" s="25"/>
      <c r="E19" s="25"/>
      <c r="F19" s="25"/>
      <c r="G19" s="25"/>
      <c r="H19" s="25"/>
      <c r="I19" s="25"/>
      <c r="J19" s="25"/>
      <c r="K19" s="25"/>
    </row>
    <row r="20" spans="1:11" ht="18.75" x14ac:dyDescent="0.3">
      <c r="A20" s="25" t="s">
        <v>19</v>
      </c>
      <c r="B20" s="25"/>
      <c r="C20" s="87" t="str">
        <f>TTCHUNG!C7</f>
        <v>Nguyễn Trung Hiếu</v>
      </c>
      <c r="D20" s="25"/>
      <c r="E20" s="25"/>
      <c r="F20" s="25"/>
      <c r="G20" s="25" t="s">
        <v>20</v>
      </c>
      <c r="H20" s="25" t="str">
        <f>TTCHUNG!E9</f>
        <v>Nam</v>
      </c>
      <c r="I20" s="25" t="s">
        <v>21</v>
      </c>
      <c r="J20" s="25" t="str">
        <f>TTCHUNG!C9</f>
        <v xml:space="preserve">06/12/1987 </v>
      </c>
      <c r="K20" s="25"/>
    </row>
    <row r="21" spans="1:11" ht="18.75" x14ac:dyDescent="0.3">
      <c r="A21" s="25" t="s">
        <v>2</v>
      </c>
      <c r="B21" s="25"/>
      <c r="C21" s="25"/>
      <c r="D21" s="25" t="str">
        <f>[1]TTCHUNG!C8</f>
        <v>Không</v>
      </c>
      <c r="E21" s="25"/>
      <c r="F21" s="25"/>
      <c r="G21" s="25"/>
      <c r="H21" s="25"/>
      <c r="I21" s="25"/>
      <c r="J21" s="25"/>
      <c r="K21" s="25"/>
    </row>
    <row r="22" spans="1:11" ht="18.75" x14ac:dyDescent="0.3">
      <c r="A22" s="25" t="s">
        <v>3</v>
      </c>
      <c r="B22" s="4"/>
      <c r="C22" s="104" t="str">
        <f>[1]TTCHUNG!C10</f>
        <v>Vĩnh Bảo, Hải Phòng.</v>
      </c>
      <c r="D22" s="25"/>
      <c r="E22" s="25"/>
      <c r="F22" s="25"/>
      <c r="G22" s="25"/>
      <c r="H22" s="25"/>
      <c r="I22" s="25"/>
      <c r="J22" s="25"/>
      <c r="K22" s="25"/>
    </row>
    <row r="23" spans="1:11" ht="18.75" x14ac:dyDescent="0.3">
      <c r="A23" s="25" t="s">
        <v>4</v>
      </c>
      <c r="B23" s="25"/>
      <c r="C23" s="25"/>
      <c r="D23" s="25" t="str">
        <f>TTCHUNG!C11</f>
        <v>Nam Hồng , Nam Sách , Hải Dương</v>
      </c>
      <c r="E23" s="25"/>
      <c r="F23" s="25"/>
      <c r="G23" s="25"/>
      <c r="H23" s="25"/>
      <c r="I23" s="25"/>
      <c r="J23" s="25"/>
      <c r="K23" s="25"/>
    </row>
    <row r="24" spans="1:11" ht="18.75" x14ac:dyDescent="0.3">
      <c r="A24" s="25" t="s">
        <v>6</v>
      </c>
      <c r="B24" s="25"/>
      <c r="C24" s="25" t="str">
        <f>TTCHUNG!C12</f>
        <v>Kinh</v>
      </c>
      <c r="D24" s="25"/>
      <c r="E24" s="25"/>
      <c r="F24" s="25"/>
      <c r="G24" s="25" t="s">
        <v>7</v>
      </c>
      <c r="H24" s="25" t="str">
        <f>[1]TTCHUNG!E12</f>
        <v>Việt Nam.</v>
      </c>
      <c r="I24" s="25"/>
      <c r="J24" s="25"/>
      <c r="K24" s="25"/>
    </row>
    <row r="25" spans="1:11" ht="19.5" x14ac:dyDescent="0.35">
      <c r="A25" s="25" t="s">
        <v>18</v>
      </c>
      <c r="B25" s="25"/>
      <c r="C25" s="25"/>
      <c r="D25" s="25"/>
      <c r="E25" s="32" t="str">
        <f>TTCHUNG!C13</f>
        <v>Lừa đảo chiếm đoạt tài sản</v>
      </c>
      <c r="F25" s="25"/>
      <c r="G25" s="25"/>
      <c r="H25" s="25"/>
      <c r="I25" s="25"/>
      <c r="J25" s="25"/>
      <c r="K25" s="25"/>
    </row>
    <row r="26" spans="1:11" ht="18.75" x14ac:dyDescent="0.3">
      <c r="A26" s="25" t="s">
        <v>25</v>
      </c>
      <c r="B26" s="25"/>
      <c r="C26" s="25" t="s">
        <v>112</v>
      </c>
      <c r="D26" s="25"/>
      <c r="E26" s="25"/>
      <c r="F26" s="25"/>
      <c r="G26" s="25" t="s">
        <v>113</v>
      </c>
      <c r="H26" s="25" t="s">
        <v>114</v>
      </c>
      <c r="I26" s="25"/>
      <c r="J26" s="25"/>
      <c r="K26" s="25"/>
    </row>
    <row r="27" spans="1:11" ht="18.75" x14ac:dyDescent="0.3">
      <c r="A27" s="25" t="s">
        <v>157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</row>
    <row r="28" spans="1:11" ht="37.5" customHeight="1" x14ac:dyDescent="0.25">
      <c r="A28" s="163" t="str">
        <f>"     Biên bản lập xong hồi         giờ      phút, ngày "&amp;TTCHUNG!C15&amp;", đã đọc lại cho những người có tên trong biên bản nghe, đồng ý với nội dung biên bản và ký tên dưới đây./."</f>
        <v xml:space="preserve">     Biên bản lập xong hồi         giờ      phút, ngày , đã đọc lại cho những người có tên trong biên bản nghe, đồng ý với nội dung biên bản và ký tên dưới đây./.</v>
      </c>
      <c r="B28" s="163"/>
      <c r="C28" s="163"/>
      <c r="D28" s="163"/>
      <c r="E28" s="163"/>
      <c r="F28" s="163"/>
      <c r="G28" s="163"/>
      <c r="H28" s="163"/>
      <c r="I28" s="163"/>
      <c r="J28" s="163"/>
      <c r="K28" s="163"/>
    </row>
    <row r="29" spans="1:11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</row>
    <row r="30" spans="1:11" ht="15.75" x14ac:dyDescent="0.25">
      <c r="A30" s="169" t="s">
        <v>136</v>
      </c>
      <c r="B30" s="169"/>
      <c r="C30" s="169"/>
      <c r="D30" s="169"/>
      <c r="E30" s="169"/>
      <c r="F30" s="169" t="s">
        <v>115</v>
      </c>
      <c r="G30" s="169"/>
      <c r="H30" s="169"/>
      <c r="I30" s="169" t="s">
        <v>116</v>
      </c>
      <c r="J30" s="169"/>
      <c r="K30" s="169"/>
    </row>
    <row r="31" spans="1:11" x14ac:dyDescent="0.25">
      <c r="A31" s="167" t="s">
        <v>117</v>
      </c>
      <c r="B31" s="167"/>
      <c r="C31" s="167"/>
      <c r="D31" s="167"/>
      <c r="E31" s="167"/>
      <c r="F31" s="167" t="s">
        <v>23</v>
      </c>
      <c r="G31" s="167"/>
      <c r="H31" s="167"/>
      <c r="I31" s="167" t="s">
        <v>23</v>
      </c>
      <c r="J31" s="167"/>
      <c r="K31" s="167"/>
    </row>
    <row r="32" spans="1:11" ht="15.75" x14ac:dyDescent="0.25">
      <c r="A32" s="23"/>
      <c r="B32" s="23"/>
      <c r="C32" s="23"/>
      <c r="D32" s="23"/>
      <c r="E32" s="23"/>
      <c r="F32" s="23"/>
      <c r="G32" s="23"/>
      <c r="H32" s="23"/>
      <c r="I32" s="142"/>
      <c r="J32" s="23"/>
      <c r="K32" s="23"/>
    </row>
    <row r="33" spans="1:11" ht="15.75" x14ac:dyDescent="0.25">
      <c r="A33" s="23"/>
      <c r="B33" s="23"/>
      <c r="C33" s="23"/>
      <c r="D33" s="23"/>
      <c r="E33" s="23"/>
      <c r="F33" s="23"/>
      <c r="G33" s="23"/>
      <c r="H33" s="23"/>
      <c r="I33" s="28"/>
      <c r="J33" s="23"/>
      <c r="K33" s="23"/>
    </row>
    <row r="34" spans="1:11" ht="15.75" x14ac:dyDescent="0.25">
      <c r="A34" s="23"/>
      <c r="B34" s="23"/>
      <c r="C34" s="23"/>
      <c r="D34" s="23"/>
      <c r="E34" s="23"/>
      <c r="F34" s="23"/>
      <c r="G34" s="23"/>
      <c r="H34" s="23"/>
      <c r="I34" s="28"/>
      <c r="J34" s="23"/>
      <c r="K34" s="23"/>
    </row>
    <row r="35" spans="1:11" ht="15.75" x14ac:dyDescent="0.25">
      <c r="A35" s="23"/>
      <c r="B35" s="23"/>
      <c r="C35" s="23"/>
      <c r="D35" s="23"/>
      <c r="E35" s="23"/>
      <c r="F35" s="23"/>
      <c r="G35" s="23"/>
      <c r="H35" s="23"/>
      <c r="I35" s="28"/>
      <c r="J35" s="23"/>
      <c r="K35" s="23"/>
    </row>
    <row r="36" spans="1:11" ht="15.75" x14ac:dyDescent="0.25">
      <c r="A36" s="23"/>
      <c r="B36" s="23"/>
      <c r="C36" s="23"/>
      <c r="D36" s="23"/>
      <c r="E36" s="23"/>
      <c r="F36" s="23"/>
      <c r="G36" s="23"/>
      <c r="H36" s="23"/>
      <c r="I36" s="146"/>
      <c r="J36" s="23"/>
      <c r="K36" s="23"/>
    </row>
    <row r="37" spans="1:11" ht="18.75" x14ac:dyDescent="0.3">
      <c r="A37" s="23"/>
      <c r="B37" s="23"/>
      <c r="C37" s="23"/>
      <c r="D37" s="23"/>
      <c r="E37" s="23"/>
      <c r="F37" s="161"/>
      <c r="G37" s="161"/>
      <c r="H37" s="161"/>
      <c r="I37" s="165"/>
      <c r="J37" s="165"/>
      <c r="K37" s="165"/>
    </row>
    <row r="38" spans="1:11" x14ac:dyDescent="0.25">
      <c r="A38" s="105" t="s">
        <v>99</v>
      </c>
      <c r="B38" s="105"/>
      <c r="C38" s="23"/>
      <c r="D38" s="23"/>
      <c r="E38" s="23"/>
      <c r="F38" s="23"/>
      <c r="G38" s="23"/>
      <c r="H38" s="23"/>
      <c r="I38" s="23"/>
      <c r="J38" s="23"/>
      <c r="K38" s="23"/>
    </row>
    <row r="39" spans="1:11" x14ac:dyDescent="0.25">
      <c r="A39" s="106" t="s">
        <v>118</v>
      </c>
      <c r="B39" s="106"/>
      <c r="C39" s="23"/>
      <c r="D39" s="23"/>
      <c r="E39" s="23"/>
      <c r="F39" s="23"/>
      <c r="G39" s="23"/>
      <c r="H39" s="23"/>
      <c r="I39" s="23"/>
      <c r="J39" s="23"/>
      <c r="K39" s="23"/>
    </row>
    <row r="40" spans="1:11" x14ac:dyDescent="0.25">
      <c r="A40" s="29" t="s">
        <v>119</v>
      </c>
      <c r="B40" s="29"/>
      <c r="C40" s="23"/>
      <c r="D40" s="23"/>
      <c r="E40" s="23"/>
      <c r="F40" s="23"/>
      <c r="G40" s="23"/>
      <c r="H40" s="23"/>
      <c r="I40" s="23"/>
      <c r="J40" s="23"/>
      <c r="K40" s="23"/>
    </row>
    <row r="41" spans="1:11" x14ac:dyDescent="0.2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</row>
    <row r="42" spans="1:11" x14ac:dyDescent="0.2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</row>
    <row r="66" spans="5:10" ht="18.75" x14ac:dyDescent="0.3">
      <c r="E66" s="107"/>
      <c r="F66" s="107"/>
      <c r="G66" s="107"/>
      <c r="H66" s="102"/>
      <c r="I66" s="102"/>
      <c r="J66" s="102"/>
    </row>
  </sheetData>
  <mergeCells count="15">
    <mergeCell ref="F37:H37"/>
    <mergeCell ref="I37:K37"/>
    <mergeCell ref="A28:K28"/>
    <mergeCell ref="A30:E30"/>
    <mergeCell ref="F30:H30"/>
    <mergeCell ref="I30:K30"/>
    <mergeCell ref="A31:E31"/>
    <mergeCell ref="F31:H31"/>
    <mergeCell ref="I31:K31"/>
    <mergeCell ref="A8:K8"/>
    <mergeCell ref="A1:K1"/>
    <mergeCell ref="A2:K2"/>
    <mergeCell ref="A4:K4"/>
    <mergeCell ref="A5:K5"/>
    <mergeCell ref="A7:K7"/>
  </mergeCells>
  <printOptions horizontalCentered="1" verticalCentered="1"/>
  <pageMargins left="0.7" right="0.2" top="0.5" bottom="0.2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4:M41"/>
  <sheetViews>
    <sheetView view="pageBreakPreview" zoomScaleNormal="100" zoomScaleSheetLayoutView="100" workbookViewId="0">
      <selection activeCell="G7" sqref="G7:M7"/>
    </sheetView>
  </sheetViews>
  <sheetFormatPr defaultRowHeight="15" x14ac:dyDescent="0.25"/>
  <cols>
    <col min="1" max="1" width="11.85546875" style="23" customWidth="1"/>
    <col min="2" max="2" width="1.85546875" style="23" customWidth="1"/>
    <col min="3" max="3" width="4.28515625" style="23" customWidth="1"/>
    <col min="4" max="4" width="2.42578125" style="23" customWidth="1"/>
    <col min="5" max="5" width="7.85546875" style="23" customWidth="1"/>
    <col min="6" max="7" width="9.140625" style="23"/>
    <col min="8" max="8" width="3.42578125" style="23" customWidth="1"/>
    <col min="9" max="9" width="9.5703125" style="23" customWidth="1"/>
    <col min="10" max="10" width="9.140625" style="23"/>
    <col min="11" max="12" width="5.85546875" style="23" customWidth="1"/>
    <col min="13" max="13" width="13" style="23" customWidth="1"/>
    <col min="14" max="16384" width="9.140625" style="23"/>
  </cols>
  <sheetData>
    <row r="4" spans="1:13" ht="17.25" x14ac:dyDescent="0.25">
      <c r="A4" s="173" t="s">
        <v>30</v>
      </c>
      <c r="B4" s="173"/>
      <c r="C4" s="173"/>
      <c r="D4" s="173"/>
      <c r="E4" s="173"/>
      <c r="F4" s="173"/>
      <c r="G4" s="61" t="s">
        <v>16</v>
      </c>
      <c r="H4" s="61"/>
      <c r="I4" s="61"/>
      <c r="J4" s="61"/>
      <c r="K4" s="61"/>
      <c r="L4" s="61"/>
      <c r="M4" s="61"/>
    </row>
    <row r="5" spans="1:13" ht="17.25" x14ac:dyDescent="0.25">
      <c r="A5" s="174" t="s">
        <v>31</v>
      </c>
      <c r="B5" s="174"/>
      <c r="C5" s="174"/>
      <c r="D5" s="174"/>
      <c r="E5" s="174"/>
      <c r="F5" s="174"/>
      <c r="G5" s="159" t="s">
        <v>94</v>
      </c>
      <c r="H5" s="159"/>
      <c r="I5" s="159"/>
      <c r="J5" s="159"/>
      <c r="K5" s="159"/>
      <c r="L5" s="159"/>
      <c r="M5" s="159"/>
    </row>
    <row r="7" spans="1:13" ht="18.75" x14ac:dyDescent="0.3">
      <c r="A7" s="156"/>
      <c r="B7" s="156"/>
      <c r="C7" s="156"/>
      <c r="D7" s="156"/>
      <c r="E7" s="156"/>
      <c r="F7" s="156"/>
      <c r="G7" s="157" t="str">
        <f ca="1">"Quảng Ninh, ngày        tháng      năm "&amp;YEAR(TODAY())</f>
        <v>Quảng Ninh, ngày        tháng      năm 2026</v>
      </c>
      <c r="H7" s="157"/>
      <c r="I7" s="157"/>
      <c r="J7" s="157"/>
      <c r="K7" s="157"/>
      <c r="L7" s="157"/>
      <c r="M7" s="157"/>
    </row>
    <row r="8" spans="1:13" ht="18.75" x14ac:dyDescent="0.3">
      <c r="A8" s="96"/>
      <c r="B8" s="96"/>
      <c r="C8" s="96"/>
      <c r="D8" s="96"/>
      <c r="E8" s="96"/>
      <c r="F8" s="101"/>
      <c r="G8" s="101"/>
      <c r="H8" s="101"/>
      <c r="I8" s="101"/>
      <c r="J8" s="101"/>
      <c r="K8" s="101"/>
      <c r="L8" s="101"/>
      <c r="M8" s="101"/>
    </row>
    <row r="9" spans="1:13" ht="18.75" x14ac:dyDescent="0.25">
      <c r="A9" s="162" t="s">
        <v>26</v>
      </c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</row>
    <row r="10" spans="1:13" ht="18.75" x14ac:dyDescent="0.3">
      <c r="A10" s="176" t="s">
        <v>120</v>
      </c>
      <c r="B10" s="161"/>
      <c r="C10" s="161"/>
      <c r="D10" s="161"/>
      <c r="E10" s="161"/>
      <c r="F10" s="161"/>
      <c r="G10" s="161"/>
      <c r="H10" s="161"/>
      <c r="I10" s="161"/>
      <c r="J10" s="161"/>
      <c r="K10" s="161"/>
      <c r="L10" s="161"/>
      <c r="M10" s="161"/>
    </row>
    <row r="11" spans="1:13" ht="18.75" x14ac:dyDescent="0.3">
      <c r="A11" s="108"/>
      <c r="B11" s="94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</row>
    <row r="12" spans="1:13" ht="18.75" x14ac:dyDescent="0.3">
      <c r="A12" s="108"/>
      <c r="B12" s="94"/>
      <c r="C12" s="94"/>
      <c r="D12" s="94"/>
      <c r="E12" s="161" t="s">
        <v>121</v>
      </c>
      <c r="F12" s="161"/>
      <c r="G12" s="161"/>
      <c r="H12" s="161"/>
      <c r="I12" s="161"/>
      <c r="J12" s="161"/>
      <c r="K12" s="161"/>
      <c r="L12" s="94"/>
      <c r="M12" s="94"/>
    </row>
    <row r="13" spans="1:13" ht="18.75" x14ac:dyDescent="0.3">
      <c r="A13" s="94"/>
      <c r="B13" s="94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</row>
    <row r="14" spans="1:13" ht="36" customHeight="1" x14ac:dyDescent="0.25">
      <c r="A14" s="177" t="s">
        <v>122</v>
      </c>
      <c r="B14" s="177"/>
      <c r="C14" s="177"/>
      <c r="D14" s="177"/>
      <c r="E14" s="177"/>
      <c r="F14" s="177"/>
      <c r="G14" s="177"/>
      <c r="H14" s="177"/>
      <c r="I14" s="177"/>
      <c r="J14" s="177"/>
      <c r="K14" s="177"/>
      <c r="L14" s="177"/>
      <c r="M14" s="177"/>
    </row>
    <row r="15" spans="1:13" ht="36" customHeight="1" x14ac:dyDescent="0.25">
      <c r="A15" s="177" t="s">
        <v>123</v>
      </c>
      <c r="B15" s="177"/>
      <c r="C15" s="177"/>
      <c r="D15" s="177"/>
      <c r="E15" s="177"/>
      <c r="F15" s="177"/>
      <c r="G15" s="177"/>
      <c r="H15" s="177"/>
      <c r="I15" s="177"/>
      <c r="J15" s="177"/>
      <c r="K15" s="177"/>
      <c r="L15" s="177"/>
      <c r="M15" s="177"/>
    </row>
    <row r="16" spans="1:13" ht="36" customHeight="1" x14ac:dyDescent="0.25">
      <c r="A16" s="177" t="s">
        <v>124</v>
      </c>
      <c r="B16" s="177"/>
      <c r="C16" s="177"/>
      <c r="D16" s="177"/>
      <c r="E16" s="177"/>
      <c r="F16" s="177"/>
      <c r="G16" s="177"/>
      <c r="H16" s="177"/>
      <c r="I16" s="177"/>
      <c r="J16" s="177"/>
      <c r="K16" s="177"/>
      <c r="L16" s="177"/>
      <c r="M16" s="177"/>
    </row>
    <row r="17" spans="1:13" ht="18.75" x14ac:dyDescent="0.25">
      <c r="A17" s="162" t="s">
        <v>26</v>
      </c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</row>
    <row r="18" spans="1:13" ht="36" customHeight="1" x14ac:dyDescent="0.25">
      <c r="A18" s="178" t="s">
        <v>125</v>
      </c>
      <c r="B18" s="178"/>
      <c r="C18" s="178"/>
      <c r="D18" s="178"/>
      <c r="E18" s="178"/>
      <c r="F18" s="178"/>
      <c r="G18" s="178"/>
      <c r="H18" s="178"/>
      <c r="I18" s="178"/>
      <c r="J18" s="178"/>
      <c r="K18" s="178"/>
      <c r="L18" s="178"/>
      <c r="M18" s="178"/>
    </row>
    <row r="19" spans="1:13" ht="18.75" x14ac:dyDescent="0.3">
      <c r="A19" s="25" t="s">
        <v>19</v>
      </c>
      <c r="B19" s="61" t="str">
        <f>TTCHUNG!C7</f>
        <v>Nguyễn Trung Hiếu</v>
      </c>
      <c r="C19" s="25"/>
      <c r="D19" s="25"/>
      <c r="E19" s="25"/>
      <c r="F19" s="25"/>
      <c r="G19" s="168" t="s">
        <v>20</v>
      </c>
      <c r="H19" s="168"/>
      <c r="I19" s="25" t="str">
        <f>TTCHUNG!E9</f>
        <v>Nam</v>
      </c>
      <c r="J19" s="156" t="s">
        <v>126</v>
      </c>
      <c r="K19" s="156"/>
      <c r="L19" s="179" t="str">
        <f>TTCHUNG!C9</f>
        <v xml:space="preserve">06/12/1987 </v>
      </c>
      <c r="M19" s="170"/>
    </row>
    <row r="20" spans="1:13" ht="18.75" x14ac:dyDescent="0.3">
      <c r="A20" s="25" t="s">
        <v>2</v>
      </c>
      <c r="B20" s="25"/>
      <c r="D20" s="25" t="str">
        <f>[1]TTCHUNG!C8</f>
        <v>Không</v>
      </c>
      <c r="E20" s="25"/>
      <c r="F20" s="25"/>
      <c r="G20" s="25"/>
      <c r="H20" s="25"/>
      <c r="I20" s="25"/>
      <c r="J20" s="25"/>
      <c r="K20" s="25"/>
      <c r="L20" s="25"/>
      <c r="M20" s="25"/>
    </row>
    <row r="21" spans="1:13" ht="18.75" x14ac:dyDescent="0.3">
      <c r="A21" s="25" t="s">
        <v>4</v>
      </c>
      <c r="B21" s="25"/>
      <c r="C21" s="45" t="str">
        <f>TTCHUNG!C11</f>
        <v>Nam Hồng , Nam Sách , Hải Dương</v>
      </c>
      <c r="D21" s="25"/>
      <c r="E21" s="25"/>
      <c r="F21" s="25"/>
      <c r="G21" s="25"/>
      <c r="H21" s="25"/>
      <c r="I21" s="25"/>
      <c r="J21" s="25"/>
      <c r="K21" s="25"/>
      <c r="L21" s="25"/>
      <c r="M21" s="25"/>
    </row>
    <row r="22" spans="1:13" ht="18.75" x14ac:dyDescent="0.3">
      <c r="A22" s="25" t="s">
        <v>6</v>
      </c>
      <c r="B22" s="25" t="str">
        <f>TTCHUNG!C12</f>
        <v>Kinh</v>
      </c>
      <c r="C22" s="25"/>
      <c r="D22" s="25"/>
      <c r="E22" s="25"/>
      <c r="F22" s="25"/>
      <c r="G22" s="156" t="s">
        <v>7</v>
      </c>
      <c r="H22" s="156"/>
      <c r="I22" s="25" t="str">
        <f>[1]TTCHUNG!E12</f>
        <v>Việt Nam.</v>
      </c>
      <c r="J22" s="25"/>
      <c r="K22" s="25"/>
      <c r="L22" s="25"/>
      <c r="M22" s="25"/>
    </row>
    <row r="23" spans="1:13" ht="19.5" x14ac:dyDescent="0.35">
      <c r="A23" s="25" t="s">
        <v>18</v>
      </c>
      <c r="B23" s="25"/>
      <c r="C23" s="25"/>
      <c r="D23" s="25"/>
      <c r="E23" s="32" t="str">
        <f>TTCHUNG!C13</f>
        <v>Lừa đảo chiếm đoạt tài sản</v>
      </c>
      <c r="F23" s="25"/>
      <c r="G23" s="25"/>
      <c r="H23" s="25"/>
      <c r="I23" s="25"/>
      <c r="J23" s="25"/>
      <c r="K23" s="25"/>
      <c r="L23" s="25"/>
      <c r="M23" s="25"/>
    </row>
    <row r="24" spans="1:13" ht="18.75" x14ac:dyDescent="0.3">
      <c r="A24" s="25" t="s">
        <v>9</v>
      </c>
      <c r="C24" s="130" t="str">
        <f>TTCHUNG!C14</f>
        <v>16/01/2025</v>
      </c>
      <c r="D24" s="25"/>
      <c r="E24" s="25"/>
      <c r="F24" s="175" t="s">
        <v>22</v>
      </c>
      <c r="G24" s="175"/>
      <c r="H24" s="175"/>
      <c r="I24" s="25"/>
      <c r="J24" s="25"/>
      <c r="K24" s="98"/>
      <c r="L24" s="25"/>
    </row>
    <row r="25" spans="1:13" ht="18.75" x14ac:dyDescent="0.3">
      <c r="A25" s="25" t="s">
        <v>127</v>
      </c>
      <c r="B25" s="25"/>
      <c r="C25" s="25"/>
      <c r="D25" s="25"/>
      <c r="E25" s="25"/>
      <c r="F25" s="25"/>
      <c r="G25" s="25"/>
      <c r="H25" s="25" t="s">
        <v>128</v>
      </c>
      <c r="I25" s="25"/>
      <c r="K25" s="25" t="s">
        <v>129</v>
      </c>
      <c r="L25" s="25"/>
      <c r="M25" s="25"/>
    </row>
    <row r="26" spans="1:13" ht="18.75" x14ac:dyDescent="0.3">
      <c r="A26" s="25" t="s">
        <v>130</v>
      </c>
      <c r="B26" s="25"/>
      <c r="C26" s="180">
        <f>[1]TTCHUNG!C16</f>
        <v>0</v>
      </c>
      <c r="D26" s="180"/>
      <c r="E26" s="180"/>
      <c r="F26" s="180"/>
      <c r="G26" s="180"/>
      <c r="H26" s="180"/>
      <c r="I26" s="180"/>
      <c r="J26" s="180"/>
      <c r="K26" s="180"/>
      <c r="L26" s="180"/>
      <c r="M26" s="180"/>
    </row>
    <row r="27" spans="1:13" ht="36" customHeight="1" x14ac:dyDescent="0.25">
      <c r="A27" s="163" t="str">
        <f>"     Theo Quyết định tạm giữ số "&amp;TTCHUNG!E20&amp;" ngày "&amp; TTCHUNG!F20&amp; " của Cơ quan "&amp;TTCHUNG!G20&amp;" - Công an tỉnh Quảng Ninh."</f>
        <v xml:space="preserve">     Theo Quyết định tạm giữ số 92 ngày 16/01/2025 của Cơ quan  Cơ quan CSĐT - Công an tỉnh Quảng Ninh.</v>
      </c>
      <c r="B27" s="163"/>
      <c r="C27" s="163"/>
      <c r="D27" s="163"/>
      <c r="E27" s="163"/>
      <c r="F27" s="163"/>
      <c r="G27" s="163"/>
      <c r="H27" s="163"/>
      <c r="I27" s="163"/>
      <c r="J27" s="163"/>
      <c r="K27" s="163"/>
      <c r="L27" s="163"/>
      <c r="M27" s="163"/>
    </row>
    <row r="28" spans="1:13" ht="33.75" customHeight="1" x14ac:dyDescent="0.25">
      <c r="A28" s="163" t="s">
        <v>131</v>
      </c>
      <c r="B28" s="163"/>
      <c r="C28" s="163"/>
      <c r="D28" s="163"/>
      <c r="E28" s="163"/>
      <c r="F28" s="163"/>
      <c r="G28" s="163"/>
      <c r="H28" s="163"/>
      <c r="I28" s="163"/>
      <c r="J28" s="163"/>
      <c r="K28" s="163"/>
      <c r="L28" s="163"/>
      <c r="M28" s="163"/>
    </row>
    <row r="30" spans="1:13" ht="15.75" x14ac:dyDescent="0.25">
      <c r="A30" s="169"/>
      <c r="B30" s="169"/>
      <c r="C30" s="169"/>
      <c r="D30" s="169"/>
      <c r="E30" s="169"/>
      <c r="F30" s="169"/>
      <c r="G30" s="99"/>
      <c r="H30" s="181" t="s">
        <v>132</v>
      </c>
      <c r="I30" s="181"/>
      <c r="J30" s="181"/>
      <c r="K30" s="181"/>
      <c r="L30" s="181"/>
      <c r="M30" s="181"/>
    </row>
    <row r="31" spans="1:13" ht="15.75" x14ac:dyDescent="0.25">
      <c r="A31" s="167"/>
      <c r="B31" s="167"/>
      <c r="C31" s="167"/>
      <c r="D31" s="167"/>
      <c r="E31" s="167"/>
      <c r="F31" s="167"/>
      <c r="G31" s="95"/>
      <c r="H31" s="182" t="s">
        <v>133</v>
      </c>
      <c r="I31" s="182"/>
      <c r="J31" s="182"/>
      <c r="K31" s="182"/>
      <c r="L31" s="182"/>
      <c r="M31" s="182"/>
    </row>
    <row r="32" spans="1:13" ht="15.75" x14ac:dyDescent="0.25">
      <c r="J32" s="99"/>
      <c r="K32" s="99"/>
    </row>
    <row r="33" spans="1:13" ht="18.75" x14ac:dyDescent="0.25">
      <c r="A33" s="100"/>
      <c r="J33" s="28"/>
      <c r="K33" s="28"/>
    </row>
    <row r="34" spans="1:13" ht="18.75" x14ac:dyDescent="0.25">
      <c r="A34" s="100"/>
      <c r="J34" s="28"/>
      <c r="K34" s="28"/>
    </row>
    <row r="35" spans="1:13" ht="18.75" x14ac:dyDescent="0.25">
      <c r="A35" s="100"/>
      <c r="J35" s="28"/>
      <c r="K35" s="28"/>
    </row>
    <row r="36" spans="1:13" ht="15.75" x14ac:dyDescent="0.25">
      <c r="J36" s="28"/>
      <c r="K36" s="28"/>
    </row>
    <row r="37" spans="1:13" ht="15.75" x14ac:dyDescent="0.25">
      <c r="J37" s="76"/>
      <c r="K37" s="76"/>
    </row>
    <row r="38" spans="1:13" ht="18.75" x14ac:dyDescent="0.3">
      <c r="F38" s="22"/>
      <c r="G38" s="22"/>
      <c r="H38" s="165"/>
      <c r="I38" s="165"/>
      <c r="J38" s="165"/>
      <c r="K38" s="165"/>
      <c r="L38" s="165"/>
      <c r="M38" s="165"/>
    </row>
    <row r="39" spans="1:13" ht="18.75" x14ac:dyDescent="0.3">
      <c r="A39" s="80" t="s">
        <v>99</v>
      </c>
      <c r="F39" s="22"/>
      <c r="G39" s="22"/>
      <c r="H39" s="97"/>
      <c r="I39" s="97"/>
      <c r="J39" s="97"/>
      <c r="K39" s="97"/>
      <c r="L39" s="97"/>
      <c r="M39" s="97"/>
    </row>
    <row r="40" spans="1:13" x14ac:dyDescent="0.25">
      <c r="A40" s="29" t="s">
        <v>134</v>
      </c>
    </row>
    <row r="41" spans="1:13" x14ac:dyDescent="0.25">
      <c r="A41" s="29" t="s">
        <v>135</v>
      </c>
    </row>
  </sheetData>
  <mergeCells count="26">
    <mergeCell ref="H38:M38"/>
    <mergeCell ref="C26:M26"/>
    <mergeCell ref="A27:M27"/>
    <mergeCell ref="A28:M28"/>
    <mergeCell ref="A30:F30"/>
    <mergeCell ref="H30:M30"/>
    <mergeCell ref="A31:F31"/>
    <mergeCell ref="H31:M31"/>
    <mergeCell ref="F24:H24"/>
    <mergeCell ref="A10:M10"/>
    <mergeCell ref="E12:K12"/>
    <mergeCell ref="A14:M14"/>
    <mergeCell ref="A15:M15"/>
    <mergeCell ref="A16:M16"/>
    <mergeCell ref="A17:M17"/>
    <mergeCell ref="A18:M18"/>
    <mergeCell ref="G19:H19"/>
    <mergeCell ref="J19:K19"/>
    <mergeCell ref="L19:M19"/>
    <mergeCell ref="G22:H22"/>
    <mergeCell ref="A9:M9"/>
    <mergeCell ref="A4:F4"/>
    <mergeCell ref="A5:F5"/>
    <mergeCell ref="G5:M5"/>
    <mergeCell ref="A7:F7"/>
    <mergeCell ref="G7:M7"/>
  </mergeCells>
  <printOptions horizontalCentered="1" verticalCentered="1"/>
  <pageMargins left="0.7" right="0.2" top="0.25" bottom="0.2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4:K36"/>
  <sheetViews>
    <sheetView view="pageBreakPreview" zoomScaleNormal="100" zoomScaleSheetLayoutView="100" workbookViewId="0">
      <selection activeCell="E7" sqref="E7:K7"/>
    </sheetView>
  </sheetViews>
  <sheetFormatPr defaultRowHeight="15" x14ac:dyDescent="0.25"/>
  <cols>
    <col min="1" max="1" width="13.28515625" style="23" customWidth="1"/>
    <col min="2" max="2" width="3" style="23" customWidth="1"/>
    <col min="3" max="3" width="5.140625" style="23" customWidth="1"/>
    <col min="4" max="4" width="11.28515625" style="23" customWidth="1"/>
    <col min="5" max="5" width="9.140625" style="23"/>
    <col min="6" max="6" width="12.4257812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140625" style="23" customWidth="1"/>
    <col min="11" max="11" width="4.85546875" style="23" customWidth="1"/>
    <col min="12" max="16384" width="9.140625" style="23"/>
  </cols>
  <sheetData>
    <row r="4" spans="1:11" ht="17.25" x14ac:dyDescent="0.25">
      <c r="A4" s="158" t="s">
        <v>30</v>
      </c>
      <c r="B4" s="158"/>
      <c r="C4" s="158"/>
      <c r="D4" s="158"/>
      <c r="E4" s="159" t="s">
        <v>16</v>
      </c>
      <c r="F4" s="159"/>
      <c r="G4" s="159"/>
      <c r="H4" s="159"/>
      <c r="I4" s="159"/>
      <c r="J4" s="159"/>
    </row>
    <row r="5" spans="1:11" ht="17.25" x14ac:dyDescent="0.25">
      <c r="A5" s="160" t="s">
        <v>31</v>
      </c>
      <c r="B5" s="160"/>
      <c r="C5" s="160"/>
      <c r="D5" s="160"/>
      <c r="E5" s="159" t="s">
        <v>94</v>
      </c>
      <c r="F5" s="159"/>
      <c r="G5" s="159"/>
      <c r="H5" s="159"/>
      <c r="I5" s="159"/>
      <c r="J5" s="159"/>
    </row>
    <row r="6" spans="1:11" ht="18.75" x14ac:dyDescent="0.3">
      <c r="A6" s="161"/>
      <c r="B6" s="161"/>
      <c r="C6" s="161"/>
      <c r="D6" s="161"/>
    </row>
    <row r="7" spans="1:11" ht="18.75" x14ac:dyDescent="0.3">
      <c r="E7" s="157" t="str">
        <f ca="1">"Quảng Ninh, ngày        tháng      năm "&amp;YEAR(TODAY())</f>
        <v>Quảng Ninh, ngày        tháng      năm 2026</v>
      </c>
      <c r="F7" s="157"/>
      <c r="G7" s="157"/>
      <c r="H7" s="157"/>
      <c r="I7" s="157"/>
      <c r="J7" s="157"/>
      <c r="K7" s="157"/>
    </row>
    <row r="8" spans="1:11" ht="18.75" x14ac:dyDescent="0.3">
      <c r="A8" s="82"/>
      <c r="B8" s="82"/>
      <c r="C8" s="82"/>
      <c r="D8" s="82"/>
      <c r="E8" s="86"/>
      <c r="F8" s="86"/>
      <c r="G8" s="86"/>
      <c r="H8" s="86"/>
      <c r="I8" s="86"/>
      <c r="J8" s="86"/>
    </row>
    <row r="9" spans="1:11" ht="18.75" x14ac:dyDescent="0.25">
      <c r="A9" s="162" t="s">
        <v>96</v>
      </c>
      <c r="B9" s="162"/>
      <c r="C9" s="162"/>
      <c r="D9" s="162"/>
      <c r="E9" s="162"/>
      <c r="F9" s="162"/>
      <c r="G9" s="162"/>
      <c r="H9" s="162"/>
      <c r="I9" s="162"/>
      <c r="J9" s="162"/>
    </row>
    <row r="10" spans="1:11" ht="19.5" x14ac:dyDescent="0.35">
      <c r="A10" s="183" t="s">
        <v>97</v>
      </c>
      <c r="B10" s="184"/>
      <c r="C10" s="184"/>
      <c r="D10" s="184"/>
      <c r="E10" s="184"/>
      <c r="F10" s="184"/>
      <c r="G10" s="184"/>
      <c r="H10" s="184"/>
      <c r="I10" s="184"/>
      <c r="J10" s="184"/>
    </row>
    <row r="11" spans="1:11" ht="18.75" x14ac:dyDescent="0.3">
      <c r="A11" s="81"/>
      <c r="B11" s="81"/>
      <c r="C11" s="81"/>
      <c r="D11" s="81"/>
      <c r="E11" s="81"/>
      <c r="F11" s="81"/>
      <c r="G11" s="81"/>
      <c r="H11" s="81"/>
      <c r="I11" s="81"/>
      <c r="J11" s="81"/>
    </row>
    <row r="12" spans="1:11" ht="36.75" customHeight="1" x14ac:dyDescent="0.25">
      <c r="A12" s="185" t="str">
        <f xml:space="preserve"> "               Kính gửi: Cơ quan " &amp;TTCHUNG!G20&amp;" - Công an tỉnh Quảng Ninh"</f>
        <v xml:space="preserve">               Kính gửi: Cơ quan  Cơ quan CSĐT - Công an tỉnh Quảng Ninh</v>
      </c>
      <c r="B12" s="185"/>
      <c r="C12" s="185"/>
      <c r="D12" s="185"/>
      <c r="E12" s="185"/>
      <c r="F12" s="185"/>
      <c r="G12" s="185"/>
      <c r="H12" s="185"/>
      <c r="I12" s="185"/>
      <c r="J12" s="185"/>
    </row>
    <row r="13" spans="1:11" ht="36.75" customHeight="1" x14ac:dyDescent="0.25">
      <c r="A13" s="177" t="s">
        <v>98</v>
      </c>
      <c r="B13" s="177"/>
      <c r="C13" s="177"/>
      <c r="D13" s="177"/>
      <c r="E13" s="177"/>
      <c r="F13" s="177"/>
      <c r="G13" s="177"/>
      <c r="H13" s="177"/>
      <c r="I13" s="177"/>
      <c r="J13" s="177"/>
    </row>
    <row r="14" spans="1:11" ht="17.25" customHeight="1" x14ac:dyDescent="0.25">
      <c r="A14" s="124"/>
      <c r="B14" s="124"/>
      <c r="C14" s="124"/>
      <c r="D14" s="124"/>
      <c r="E14" s="124"/>
      <c r="F14" s="124"/>
      <c r="G14" s="124"/>
      <c r="H14" s="124"/>
      <c r="I14" s="124"/>
      <c r="J14" s="124"/>
    </row>
    <row r="15" spans="1:11" ht="54" customHeight="1" x14ac:dyDescent="0.25">
      <c r="A15" s="165" t="s">
        <v>144</v>
      </c>
      <c r="B15" s="165"/>
      <c r="C15" s="165"/>
      <c r="D15" s="165"/>
      <c r="E15" s="165"/>
      <c r="F15" s="165"/>
      <c r="G15" s="165"/>
      <c r="H15" s="165"/>
      <c r="I15" s="165"/>
      <c r="J15" s="165"/>
      <c r="K15" s="165"/>
    </row>
    <row r="16" spans="1:11" ht="16.5" customHeight="1" x14ac:dyDescent="0.25">
      <c r="A16" s="122"/>
      <c r="B16" s="123"/>
      <c r="C16" s="123"/>
      <c r="D16" s="123"/>
      <c r="E16" s="123"/>
      <c r="F16" s="123"/>
      <c r="G16" s="123"/>
      <c r="H16" s="123"/>
      <c r="I16" s="123"/>
      <c r="J16" s="123"/>
    </row>
    <row r="17" spans="1:10" ht="18.75" x14ac:dyDescent="0.3">
      <c r="A17" s="25" t="s">
        <v>19</v>
      </c>
      <c r="B17" s="118" t="str">
        <f>TTCHUNG!C7</f>
        <v>Nguyễn Trung Hiếu</v>
      </c>
      <c r="C17" s="62"/>
      <c r="D17" s="62"/>
      <c r="F17" s="83" t="s">
        <v>20</v>
      </c>
      <c r="G17" s="25" t="str">
        <f>TTCHUNG!E9</f>
        <v>Nam</v>
      </c>
      <c r="H17" s="168" t="s">
        <v>21</v>
      </c>
      <c r="I17" s="168"/>
      <c r="J17" s="25" t="str">
        <f>TTCHUNG!C9</f>
        <v xml:space="preserve">06/12/1987 </v>
      </c>
    </row>
    <row r="18" spans="1:10" ht="18.75" x14ac:dyDescent="0.3">
      <c r="A18" s="25" t="s">
        <v>2</v>
      </c>
      <c r="B18" s="25"/>
      <c r="C18" s="25" t="str">
        <f>TTCHUNG!C8</f>
        <v xml:space="preserve"> </v>
      </c>
      <c r="D18" s="25"/>
      <c r="E18" s="25"/>
      <c r="F18" s="25"/>
      <c r="G18" s="25"/>
      <c r="H18" s="25"/>
      <c r="I18" s="25"/>
      <c r="J18" s="25"/>
    </row>
    <row r="19" spans="1:10" ht="18.75" x14ac:dyDescent="0.3">
      <c r="A19" s="25" t="s">
        <v>3</v>
      </c>
      <c r="B19" s="1"/>
      <c r="C19" s="25"/>
      <c r="D19" s="25"/>
      <c r="E19" s="25"/>
      <c r="F19" s="25"/>
      <c r="G19" s="25"/>
      <c r="H19" s="25"/>
      <c r="I19" s="25"/>
      <c r="J19" s="25"/>
    </row>
    <row r="20" spans="1:10" ht="18.75" x14ac:dyDescent="0.3">
      <c r="A20" s="25" t="s">
        <v>4</v>
      </c>
      <c r="B20" s="25"/>
      <c r="C20" s="25" t="str">
        <f>TTCHUNG!C11</f>
        <v>Nam Hồng , Nam Sách , Hải Dương</v>
      </c>
      <c r="D20" s="25"/>
      <c r="E20" s="25"/>
      <c r="F20" s="25"/>
      <c r="G20" s="25"/>
      <c r="H20" s="25"/>
      <c r="I20" s="25"/>
      <c r="J20" s="25"/>
    </row>
    <row r="21" spans="1:10" ht="18.75" x14ac:dyDescent="0.3">
      <c r="A21" s="25" t="s">
        <v>6</v>
      </c>
      <c r="B21" s="25" t="str">
        <f>TTCHUNG!C12</f>
        <v>Kinh</v>
      </c>
      <c r="C21" s="25"/>
      <c r="D21" s="25"/>
      <c r="E21" s="25"/>
      <c r="F21" s="83" t="s">
        <v>7</v>
      </c>
      <c r="G21" s="25" t="str">
        <f>TTCHUNG!E12</f>
        <v>Việt Nam</v>
      </c>
      <c r="H21" s="25"/>
      <c r="I21" s="25"/>
      <c r="J21" s="25"/>
    </row>
    <row r="22" spans="1:10" ht="19.5" x14ac:dyDescent="0.35">
      <c r="A22" s="25" t="s">
        <v>18</v>
      </c>
      <c r="B22" s="25"/>
      <c r="C22" s="25"/>
      <c r="D22" s="32" t="str">
        <f>TTCHUNG!C13</f>
        <v>Lừa đảo chiếm đoạt tài sản</v>
      </c>
      <c r="E22" s="25"/>
      <c r="F22" s="25"/>
      <c r="G22" s="25"/>
      <c r="H22" s="25"/>
      <c r="I22" s="25"/>
      <c r="J22" s="25"/>
    </row>
    <row r="23" spans="1:10" ht="18.75" x14ac:dyDescent="0.3">
      <c r="A23" s="25" t="s">
        <v>9</v>
      </c>
      <c r="B23" s="65" t="str">
        <f>TTCHUNG!C14</f>
        <v>16/01/2025</v>
      </c>
      <c r="C23" s="25"/>
      <c r="D23" s="25"/>
      <c r="E23" s="168" t="s">
        <v>22</v>
      </c>
      <c r="F23" s="168"/>
      <c r="G23" s="168"/>
      <c r="H23" s="88" t="str">
        <f>TTCHUNG!C18</f>
        <v>PC02</v>
      </c>
      <c r="I23" s="45"/>
      <c r="J23" s="45"/>
    </row>
    <row r="24" spans="1:10" ht="18.75" x14ac:dyDescent="0.3">
      <c r="A24" s="25" t="s">
        <v>103</v>
      </c>
      <c r="B24" s="25"/>
      <c r="C24" s="25"/>
      <c r="D24" s="25"/>
      <c r="E24" s="25"/>
      <c r="F24" s="25"/>
      <c r="G24" s="25"/>
      <c r="I24" s="25"/>
      <c r="J24" s="25"/>
    </row>
    <row r="25" spans="1:10" ht="41.25" customHeight="1" x14ac:dyDescent="0.25">
      <c r="A25" s="187" t="str">
        <f>"Theo Quyết định tạm giữ số "&amp;TTCHUNG!E20&amp;" ngày "&amp;TTCHUNG!F20 &amp;" của Cơ quan "&amp;TTCHUNG!G20&amp;" - Công an tỉnh Quảng Ninh"&amp;" đến ngày         /       /2026 hết hạn."</f>
        <v>Theo Quyết định tạm giữ số 92 ngày 16/01/2025 của Cơ quan  Cơ quan CSĐT - Công an tỉnh Quảng Ninh đến ngày         /       /2026 hết hạn.</v>
      </c>
      <c r="B25" s="187"/>
      <c r="C25" s="187"/>
      <c r="D25" s="187"/>
      <c r="E25" s="187"/>
      <c r="F25" s="187"/>
      <c r="G25" s="187"/>
      <c r="H25" s="187"/>
      <c r="I25" s="187"/>
      <c r="J25" s="187"/>
    </row>
    <row r="26" spans="1:10" ht="42" customHeight="1" x14ac:dyDescent="0.25">
      <c r="A26" s="188" t="str">
        <f>"         Yêu cầu Cơ quan"&amp; TTCHUNG!G20 &amp;" - Công an tỉnh Quảng Ninh"&amp;" giải quyết theo quy định của pháp luật."</f>
        <v xml:space="preserve">         Yêu cầu Cơ quan Cơ quan CSĐT - Công an tỉnh Quảng Ninh giải quyết theo quy định của pháp luật.</v>
      </c>
      <c r="B26" s="188"/>
      <c r="C26" s="188"/>
      <c r="D26" s="188"/>
      <c r="E26" s="188"/>
      <c r="F26" s="188"/>
      <c r="G26" s="188"/>
      <c r="H26" s="188"/>
      <c r="I26" s="188"/>
      <c r="J26" s="188"/>
    </row>
    <row r="27" spans="1:10" x14ac:dyDescent="0.25">
      <c r="A27" s="189"/>
      <c r="B27" s="189"/>
      <c r="C27" s="189"/>
      <c r="D27" s="189"/>
      <c r="E27" s="189"/>
      <c r="F27" s="189"/>
      <c r="G27" s="189"/>
      <c r="H27" s="189"/>
      <c r="I27" s="189"/>
      <c r="J27" s="189"/>
    </row>
    <row r="28" spans="1:10" ht="37.5" customHeight="1" x14ac:dyDescent="0.25">
      <c r="A28" s="169"/>
      <c r="B28" s="169"/>
      <c r="C28" s="169"/>
      <c r="D28" s="169"/>
      <c r="E28" s="169"/>
      <c r="F28" s="165" t="s">
        <v>145</v>
      </c>
      <c r="G28" s="165"/>
      <c r="H28" s="165"/>
      <c r="I28" s="165"/>
      <c r="J28" s="165"/>
    </row>
    <row r="29" spans="1:10" x14ac:dyDescent="0.25">
      <c r="A29" s="167"/>
      <c r="B29" s="167"/>
      <c r="C29" s="167"/>
      <c r="D29" s="167"/>
      <c r="E29" s="167"/>
      <c r="F29" s="31"/>
      <c r="G29" s="167"/>
      <c r="H29" s="167"/>
      <c r="I29" s="167"/>
      <c r="J29" s="167"/>
    </row>
    <row r="30" spans="1:10" ht="15.75" x14ac:dyDescent="0.25">
      <c r="H30" s="84"/>
    </row>
    <row r="31" spans="1:10" ht="18.75" x14ac:dyDescent="0.25">
      <c r="A31" s="85"/>
      <c r="H31" s="28"/>
    </row>
    <row r="32" spans="1:10" ht="15.75" x14ac:dyDescent="0.25">
      <c r="A32" s="89" t="s">
        <v>99</v>
      </c>
      <c r="B32" s="90"/>
      <c r="C32" s="90"/>
      <c r="D32" s="90"/>
      <c r="H32" s="28"/>
    </row>
    <row r="33" spans="1:10" ht="15.75" x14ac:dyDescent="0.25">
      <c r="A33" s="91" t="s">
        <v>100</v>
      </c>
      <c r="B33" s="90"/>
      <c r="C33" s="90"/>
      <c r="D33" s="90"/>
      <c r="H33" s="28"/>
    </row>
    <row r="34" spans="1:10" ht="15.75" x14ac:dyDescent="0.25">
      <c r="A34" s="92" t="s">
        <v>101</v>
      </c>
      <c r="B34" s="92"/>
      <c r="C34" s="92"/>
      <c r="D34" s="93"/>
      <c r="H34" s="76"/>
    </row>
    <row r="35" spans="1:10" ht="18.75" x14ac:dyDescent="0.3">
      <c r="A35" s="186" t="s">
        <v>102</v>
      </c>
      <c r="B35" s="186"/>
      <c r="C35" s="186"/>
      <c r="D35" s="186"/>
      <c r="E35" s="22"/>
      <c r="F35" s="165" t="s">
        <v>91</v>
      </c>
      <c r="G35" s="165"/>
      <c r="H35" s="165"/>
      <c r="I35" s="165"/>
      <c r="J35" s="165"/>
    </row>
    <row r="36" spans="1:10" x14ac:dyDescent="0.25">
      <c r="A36" s="29"/>
    </row>
  </sheetData>
  <mergeCells count="22">
    <mergeCell ref="A29:E29"/>
    <mergeCell ref="G29:J29"/>
    <mergeCell ref="A35:D35"/>
    <mergeCell ref="F35:J35"/>
    <mergeCell ref="E23:G23"/>
    <mergeCell ref="A25:J25"/>
    <mergeCell ref="A26:J26"/>
    <mergeCell ref="A27:J27"/>
    <mergeCell ref="A28:E28"/>
    <mergeCell ref="F28:J28"/>
    <mergeCell ref="H17:I17"/>
    <mergeCell ref="A4:D4"/>
    <mergeCell ref="E4:J4"/>
    <mergeCell ref="A5:D5"/>
    <mergeCell ref="E5:J5"/>
    <mergeCell ref="A6:D6"/>
    <mergeCell ref="A9:J9"/>
    <mergeCell ref="A10:J10"/>
    <mergeCell ref="A12:J12"/>
    <mergeCell ref="A13:J13"/>
    <mergeCell ref="A15:K15"/>
    <mergeCell ref="E7:K7"/>
  </mergeCells>
  <printOptions horizontalCentered="1" verticalCentered="1"/>
  <pageMargins left="0.7" right="0.2" top="0.25" bottom="0.25" header="0.3" footer="0.3"/>
  <pageSetup paperSize="9" scale="95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4:K36"/>
  <sheetViews>
    <sheetView view="pageBreakPreview" zoomScaleNormal="100" zoomScaleSheetLayoutView="100" workbookViewId="0">
      <selection activeCell="E7" sqref="E7:J7"/>
    </sheetView>
  </sheetViews>
  <sheetFormatPr defaultRowHeight="15" x14ac:dyDescent="0.25"/>
  <cols>
    <col min="1" max="1" width="13.28515625" style="23" customWidth="1"/>
    <col min="2" max="2" width="3" style="23" customWidth="1"/>
    <col min="3" max="3" width="5.140625" style="23" customWidth="1"/>
    <col min="4" max="4" width="11.28515625" style="23" customWidth="1"/>
    <col min="5" max="5" width="9.140625" style="23"/>
    <col min="6" max="6" width="12.4257812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140625" style="23" customWidth="1"/>
    <col min="11" max="16384" width="9.140625" style="23"/>
  </cols>
  <sheetData>
    <row r="4" spans="1:11" ht="17.25" x14ac:dyDescent="0.25">
      <c r="A4" s="158" t="s">
        <v>30</v>
      </c>
      <c r="B4" s="158"/>
      <c r="C4" s="158"/>
      <c r="D4" s="158"/>
      <c r="E4" s="159" t="s">
        <v>16</v>
      </c>
      <c r="F4" s="159"/>
      <c r="G4" s="159"/>
      <c r="H4" s="159"/>
      <c r="I4" s="159"/>
      <c r="J4" s="159"/>
    </row>
    <row r="5" spans="1:11" ht="17.25" x14ac:dyDescent="0.25">
      <c r="A5" s="160" t="s">
        <v>31</v>
      </c>
      <c r="B5" s="160"/>
      <c r="C5" s="160"/>
      <c r="D5" s="160"/>
      <c r="E5" s="159" t="s">
        <v>94</v>
      </c>
      <c r="F5" s="159"/>
      <c r="G5" s="159"/>
      <c r="H5" s="159"/>
      <c r="I5" s="159"/>
      <c r="J5" s="159"/>
    </row>
    <row r="6" spans="1:11" ht="18.75" x14ac:dyDescent="0.3">
      <c r="A6" s="161"/>
      <c r="B6" s="161"/>
      <c r="C6" s="161"/>
      <c r="D6" s="161"/>
    </row>
    <row r="7" spans="1:11" ht="18.75" x14ac:dyDescent="0.3">
      <c r="A7" s="156"/>
      <c r="B7" s="156"/>
      <c r="C7" s="156"/>
      <c r="D7" s="156"/>
      <c r="E7" s="191" t="str">
        <f ca="1">"Quảng Ninh, ngày        tháng      năm "&amp;YEAR(TODAY())</f>
        <v>Quảng Ninh, ngày        tháng      năm 2026</v>
      </c>
      <c r="F7" s="191"/>
      <c r="G7" s="191"/>
      <c r="H7" s="191"/>
      <c r="I7" s="191"/>
      <c r="J7" s="191"/>
      <c r="K7" s="190"/>
    </row>
    <row r="8" spans="1:11" ht="18.75" x14ac:dyDescent="0.3">
      <c r="A8" s="82"/>
      <c r="B8" s="82"/>
      <c r="C8" s="82"/>
      <c r="D8" s="82"/>
      <c r="E8" s="86"/>
      <c r="F8" s="86"/>
      <c r="G8" s="86"/>
      <c r="H8" s="86"/>
      <c r="I8" s="86"/>
      <c r="J8" s="86"/>
    </row>
    <row r="9" spans="1:11" ht="18.75" x14ac:dyDescent="0.25">
      <c r="A9" s="162" t="s">
        <v>96</v>
      </c>
      <c r="B9" s="162"/>
      <c r="C9" s="162"/>
      <c r="D9" s="162"/>
      <c r="E9" s="162"/>
      <c r="F9" s="162"/>
      <c r="G9" s="162"/>
      <c r="H9" s="162"/>
      <c r="I9" s="162"/>
      <c r="J9" s="162"/>
    </row>
    <row r="10" spans="1:11" ht="19.5" x14ac:dyDescent="0.35">
      <c r="A10" s="183" t="s">
        <v>97</v>
      </c>
      <c r="B10" s="184"/>
      <c r="C10" s="184"/>
      <c r="D10" s="184"/>
      <c r="E10" s="184"/>
      <c r="F10" s="184"/>
      <c r="G10" s="184"/>
      <c r="H10" s="184"/>
      <c r="I10" s="184"/>
      <c r="J10" s="184"/>
    </row>
    <row r="11" spans="1:11" ht="18.75" x14ac:dyDescent="0.3">
      <c r="A11" s="81"/>
      <c r="B11" s="81"/>
      <c r="C11" s="81"/>
      <c r="D11" s="81"/>
      <c r="E11" s="81"/>
      <c r="F11" s="81"/>
      <c r="G11" s="81"/>
      <c r="H11" s="81"/>
      <c r="I11" s="81"/>
      <c r="J11" s="81"/>
    </row>
    <row r="12" spans="1:11" ht="36.75" customHeight="1" x14ac:dyDescent="0.25">
      <c r="A12" s="185" t="str">
        <f xml:space="preserve"> "               Kính gửi: Cơ quan " &amp;TTCHUNG!G20&amp; " - Công an tỉnh Quảng Ninh"</f>
        <v xml:space="preserve">               Kính gửi: Cơ quan  Cơ quan CSĐT - Công an tỉnh Quảng Ninh</v>
      </c>
      <c r="B12" s="185"/>
      <c r="C12" s="185"/>
      <c r="D12" s="185"/>
      <c r="E12" s="185"/>
      <c r="F12" s="185"/>
      <c r="G12" s="185"/>
      <c r="H12" s="185"/>
      <c r="I12" s="185"/>
      <c r="J12" s="185"/>
    </row>
    <row r="13" spans="1:11" ht="36.75" customHeight="1" x14ac:dyDescent="0.25">
      <c r="A13" s="177" t="s">
        <v>98</v>
      </c>
      <c r="B13" s="177"/>
      <c r="C13" s="177"/>
      <c r="D13" s="177"/>
      <c r="E13" s="177"/>
      <c r="F13" s="177"/>
      <c r="G13" s="177"/>
      <c r="H13" s="177"/>
      <c r="I13" s="177"/>
      <c r="J13" s="177"/>
    </row>
    <row r="14" spans="1:11" ht="18" customHeight="1" x14ac:dyDescent="0.25">
      <c r="A14" s="124"/>
      <c r="B14" s="124"/>
      <c r="C14" s="124"/>
      <c r="D14" s="124"/>
      <c r="E14" s="124"/>
      <c r="F14" s="124"/>
      <c r="G14" s="124"/>
      <c r="H14" s="124"/>
      <c r="I14" s="124"/>
      <c r="J14" s="124"/>
    </row>
    <row r="15" spans="1:11" ht="38.25" customHeight="1" x14ac:dyDescent="0.25">
      <c r="A15" s="165" t="s">
        <v>144</v>
      </c>
      <c r="B15" s="162"/>
      <c r="C15" s="162"/>
      <c r="D15" s="162"/>
      <c r="E15" s="162"/>
      <c r="F15" s="162"/>
      <c r="G15" s="162"/>
      <c r="H15" s="162"/>
      <c r="I15" s="162"/>
      <c r="J15" s="162"/>
    </row>
    <row r="16" spans="1:11" ht="22.5" customHeight="1" x14ac:dyDescent="0.25">
      <c r="A16" s="131"/>
      <c r="B16" s="123"/>
      <c r="C16" s="123"/>
      <c r="D16" s="123"/>
      <c r="E16" s="123"/>
      <c r="F16" s="123"/>
      <c r="G16" s="123"/>
      <c r="H16" s="123"/>
      <c r="I16" s="123"/>
      <c r="J16" s="123"/>
    </row>
    <row r="17" spans="1:10" ht="18.75" x14ac:dyDescent="0.3">
      <c r="A17" s="25" t="s">
        <v>19</v>
      </c>
      <c r="B17" s="87" t="str">
        <f>TTCHUNG!C7</f>
        <v>Nguyễn Trung Hiếu</v>
      </c>
      <c r="C17" s="25"/>
      <c r="D17" s="25"/>
      <c r="F17" s="83" t="s">
        <v>20</v>
      </c>
      <c r="G17" s="25" t="str">
        <f>TTCHUNG!E9</f>
        <v>Nam</v>
      </c>
      <c r="H17" s="168" t="s">
        <v>21</v>
      </c>
      <c r="I17" s="168"/>
      <c r="J17" s="25" t="str">
        <f>TTCHUNG!C9</f>
        <v xml:space="preserve">06/12/1987 </v>
      </c>
    </row>
    <row r="18" spans="1:10" ht="18.75" x14ac:dyDescent="0.3">
      <c r="A18" s="25" t="s">
        <v>2</v>
      </c>
      <c r="B18" s="25"/>
      <c r="C18" s="25" t="str">
        <f>TTCHUNG!C8</f>
        <v xml:space="preserve"> </v>
      </c>
      <c r="D18" s="25"/>
      <c r="E18" s="25"/>
      <c r="F18" s="25"/>
      <c r="G18" s="25"/>
      <c r="H18" s="25"/>
      <c r="I18" s="25"/>
      <c r="J18" s="25"/>
    </row>
    <row r="19" spans="1:10" ht="18.75" x14ac:dyDescent="0.3">
      <c r="A19" s="25" t="s">
        <v>3</v>
      </c>
      <c r="B19" s="1"/>
      <c r="C19" s="25"/>
      <c r="D19" s="25"/>
      <c r="E19" s="25"/>
      <c r="F19" s="25"/>
      <c r="G19" s="25"/>
      <c r="H19" s="25"/>
      <c r="I19" s="25"/>
      <c r="J19" s="25"/>
    </row>
    <row r="20" spans="1:10" ht="18.75" x14ac:dyDescent="0.3">
      <c r="A20" s="25" t="s">
        <v>4</v>
      </c>
      <c r="B20" s="25"/>
      <c r="C20" s="25" t="str">
        <f>TTCHUNG!C11</f>
        <v>Nam Hồng , Nam Sách , Hải Dương</v>
      </c>
      <c r="D20" s="25"/>
      <c r="E20" s="25"/>
      <c r="F20" s="25"/>
      <c r="G20" s="25"/>
      <c r="H20" s="25"/>
      <c r="I20" s="25"/>
      <c r="J20" s="25"/>
    </row>
    <row r="21" spans="1:10" ht="18.75" x14ac:dyDescent="0.3">
      <c r="A21" s="25" t="s">
        <v>6</v>
      </c>
      <c r="B21" s="25" t="str">
        <f>TTCHUNG!C12</f>
        <v>Kinh</v>
      </c>
      <c r="C21" s="25"/>
      <c r="D21" s="25"/>
      <c r="E21" s="25"/>
      <c r="F21" s="83" t="s">
        <v>7</v>
      </c>
      <c r="G21" s="25" t="str">
        <f>TTCHUNG!E12</f>
        <v>Việt Nam</v>
      </c>
      <c r="H21" s="25"/>
      <c r="I21" s="25"/>
      <c r="J21" s="25"/>
    </row>
    <row r="22" spans="1:10" ht="19.5" x14ac:dyDescent="0.35">
      <c r="A22" s="25" t="s">
        <v>18</v>
      </c>
      <c r="B22" s="25"/>
      <c r="C22" s="25"/>
      <c r="D22" s="32" t="str">
        <f>TTCHUNG!C13</f>
        <v>Lừa đảo chiếm đoạt tài sản</v>
      </c>
      <c r="E22" s="25"/>
      <c r="F22" s="25"/>
      <c r="G22" s="25"/>
      <c r="H22" s="25"/>
      <c r="I22" s="25"/>
      <c r="J22" s="25"/>
    </row>
    <row r="23" spans="1:10" ht="18.75" x14ac:dyDescent="0.3">
      <c r="A23" s="25" t="s">
        <v>9</v>
      </c>
      <c r="B23" s="65" t="str">
        <f>TTCHUNG!C14</f>
        <v>16/01/2025</v>
      </c>
      <c r="C23" s="25"/>
      <c r="D23" s="25"/>
      <c r="E23" s="168" t="s">
        <v>22</v>
      </c>
      <c r="F23" s="168"/>
      <c r="G23" s="168"/>
      <c r="H23" s="88" t="str">
        <f>TTCHUNG!C18</f>
        <v>PC02</v>
      </c>
      <c r="I23" s="45"/>
      <c r="J23" s="45"/>
    </row>
    <row r="24" spans="1:10" ht="18.75" x14ac:dyDescent="0.3">
      <c r="A24" s="25" t="s">
        <v>103</v>
      </c>
      <c r="B24" s="25"/>
      <c r="C24" s="25"/>
      <c r="D24" s="25"/>
      <c r="E24" s="25"/>
      <c r="F24" s="25"/>
      <c r="G24" s="25"/>
      <c r="I24" s="25"/>
      <c r="J24" s="25"/>
    </row>
    <row r="25" spans="1:10" ht="57" customHeight="1" x14ac:dyDescent="0.25">
      <c r="A25" s="187" t="str">
        <f>" Theo Quyết định gia hạn tạm giữ lần thứ             số          ngày        tháng        năm 2026 của Cơ quan "&amp;TTCHUNG!G20&amp;" - Công an  tỉnh Quảng Ninh đến ngày         /      /2026 hết hạn."</f>
        <v xml:space="preserve"> Theo Quyết định gia hạn tạm giữ lần thứ             số          ngày        tháng        năm 2026 của Cơ quan  Cơ quan CSĐT - Công an  tỉnh Quảng Ninh đến ngày         /      /2026 hết hạn.</v>
      </c>
      <c r="B25" s="187"/>
      <c r="C25" s="187"/>
      <c r="D25" s="187"/>
      <c r="E25" s="187"/>
      <c r="F25" s="187"/>
      <c r="G25" s="187"/>
      <c r="H25" s="187"/>
      <c r="I25" s="187"/>
      <c r="J25" s="187"/>
    </row>
    <row r="26" spans="1:10" ht="42" customHeight="1" x14ac:dyDescent="0.25">
      <c r="A26" s="188" t="str">
        <f>"         Yêu cầu Cơ quan "&amp;TTCHUNG!G20&amp;" - Công an tỉnh Quảng Ninh giải quyết theo quy định của pháp luật."</f>
        <v xml:space="preserve">         Yêu cầu Cơ quan  Cơ quan CSĐT - Công an tỉnh Quảng Ninh giải quyết theo quy định của pháp luật.</v>
      </c>
      <c r="B26" s="188"/>
      <c r="C26" s="188"/>
      <c r="D26" s="188"/>
      <c r="E26" s="188"/>
      <c r="F26" s="188"/>
      <c r="G26" s="188"/>
      <c r="H26" s="188"/>
      <c r="I26" s="188"/>
      <c r="J26" s="188"/>
    </row>
    <row r="27" spans="1:10" x14ac:dyDescent="0.25">
      <c r="A27" s="189"/>
      <c r="B27" s="189"/>
      <c r="C27" s="189"/>
      <c r="D27" s="189"/>
      <c r="E27" s="189"/>
      <c r="F27" s="189"/>
      <c r="G27" s="189"/>
      <c r="H27" s="189"/>
      <c r="I27" s="189"/>
      <c r="J27" s="189"/>
    </row>
    <row r="28" spans="1:10" ht="37.5" customHeight="1" x14ac:dyDescent="0.25">
      <c r="A28" s="169"/>
      <c r="B28" s="169"/>
      <c r="C28" s="169"/>
      <c r="D28" s="169"/>
      <c r="E28" s="169"/>
      <c r="F28" s="165" t="s">
        <v>145</v>
      </c>
      <c r="G28" s="165"/>
      <c r="H28" s="165"/>
      <c r="I28" s="165"/>
      <c r="J28" s="165"/>
    </row>
    <row r="29" spans="1:10" x14ac:dyDescent="0.25">
      <c r="A29" s="167"/>
      <c r="B29" s="167"/>
      <c r="C29" s="167"/>
      <c r="D29" s="167"/>
      <c r="E29" s="167"/>
      <c r="F29" s="31"/>
      <c r="G29" s="167"/>
      <c r="H29" s="167"/>
      <c r="I29" s="167"/>
      <c r="J29" s="167"/>
    </row>
    <row r="30" spans="1:10" ht="15.75" x14ac:dyDescent="0.25">
      <c r="H30" s="84"/>
    </row>
    <row r="31" spans="1:10" ht="18.75" x14ac:dyDescent="0.25">
      <c r="A31" s="85"/>
      <c r="H31" s="28"/>
    </row>
    <row r="32" spans="1:10" ht="15.75" x14ac:dyDescent="0.25">
      <c r="A32" s="89" t="s">
        <v>99</v>
      </c>
      <c r="B32" s="90"/>
      <c r="C32" s="90"/>
      <c r="D32" s="90"/>
      <c r="H32" s="28"/>
    </row>
    <row r="33" spans="1:10" ht="15.75" x14ac:dyDescent="0.25">
      <c r="A33" s="91" t="s">
        <v>100</v>
      </c>
      <c r="B33" s="90"/>
      <c r="C33" s="90"/>
      <c r="D33" s="90"/>
      <c r="H33" s="28"/>
    </row>
    <row r="34" spans="1:10" ht="15.75" x14ac:dyDescent="0.25">
      <c r="A34" s="92" t="s">
        <v>101</v>
      </c>
      <c r="B34" s="92"/>
      <c r="C34" s="92"/>
      <c r="D34" s="93"/>
      <c r="H34" s="76"/>
    </row>
    <row r="35" spans="1:10" ht="18.75" x14ac:dyDescent="0.3">
      <c r="A35" s="186" t="s">
        <v>102</v>
      </c>
      <c r="B35" s="186"/>
      <c r="C35" s="186"/>
      <c r="D35" s="186"/>
      <c r="E35" s="22"/>
      <c r="F35" s="165" t="s">
        <v>91</v>
      </c>
      <c r="G35" s="165"/>
      <c r="H35" s="165"/>
      <c r="I35" s="165"/>
      <c r="J35" s="165"/>
    </row>
    <row r="36" spans="1:10" x14ac:dyDescent="0.25">
      <c r="A36" s="29"/>
    </row>
  </sheetData>
  <mergeCells count="23">
    <mergeCell ref="A29:E29"/>
    <mergeCell ref="G29:J29"/>
    <mergeCell ref="A35:D35"/>
    <mergeCell ref="F35:J35"/>
    <mergeCell ref="E23:G23"/>
    <mergeCell ref="A25:J25"/>
    <mergeCell ref="A26:J26"/>
    <mergeCell ref="A27:J27"/>
    <mergeCell ref="A28:E28"/>
    <mergeCell ref="F28:J28"/>
    <mergeCell ref="H17:I17"/>
    <mergeCell ref="A4:D4"/>
    <mergeCell ref="E4:J4"/>
    <mergeCell ref="A5:D5"/>
    <mergeCell ref="E5:J5"/>
    <mergeCell ref="A6:D6"/>
    <mergeCell ref="A7:D7"/>
    <mergeCell ref="E7:J7"/>
    <mergeCell ref="A9:J9"/>
    <mergeCell ref="A10:J10"/>
    <mergeCell ref="A12:J12"/>
    <mergeCell ref="A13:J13"/>
    <mergeCell ref="A15:J15"/>
  </mergeCells>
  <printOptions horizontalCentered="1" verticalCentered="1"/>
  <pageMargins left="0.7" right="0.2" top="0.25" bottom="0.2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4:J36"/>
  <sheetViews>
    <sheetView view="pageBreakPreview" zoomScaleNormal="100" zoomScaleSheetLayoutView="100" workbookViewId="0">
      <selection activeCell="E7" sqref="E7:J7"/>
    </sheetView>
  </sheetViews>
  <sheetFormatPr defaultRowHeight="15" x14ac:dyDescent="0.25"/>
  <cols>
    <col min="1" max="1" width="13.28515625" style="23" customWidth="1"/>
    <col min="2" max="2" width="3" style="23" customWidth="1"/>
    <col min="3" max="3" width="5.140625" style="23" customWidth="1"/>
    <col min="4" max="4" width="11.28515625" style="23" customWidth="1"/>
    <col min="5" max="5" width="9.140625" style="23"/>
    <col min="6" max="6" width="12.4257812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140625" style="23" customWidth="1"/>
    <col min="11" max="16384" width="9.140625" style="23"/>
  </cols>
  <sheetData>
    <row r="4" spans="1:10" ht="17.25" x14ac:dyDescent="0.25">
      <c r="A4" s="158" t="s">
        <v>30</v>
      </c>
      <c r="B4" s="158"/>
      <c r="C4" s="158"/>
      <c r="D4" s="158"/>
      <c r="E4" s="159" t="s">
        <v>16</v>
      </c>
      <c r="F4" s="159"/>
      <c r="G4" s="159"/>
      <c r="H4" s="159"/>
      <c r="I4" s="159"/>
      <c r="J4" s="159"/>
    </row>
    <row r="5" spans="1:10" ht="17.25" x14ac:dyDescent="0.25">
      <c r="A5" s="160" t="s">
        <v>31</v>
      </c>
      <c r="B5" s="160"/>
      <c r="C5" s="160"/>
      <c r="D5" s="160"/>
      <c r="E5" s="159" t="s">
        <v>94</v>
      </c>
      <c r="F5" s="159"/>
      <c r="G5" s="159"/>
      <c r="H5" s="159"/>
      <c r="I5" s="159"/>
      <c r="J5" s="159"/>
    </row>
    <row r="6" spans="1:10" ht="18.75" x14ac:dyDescent="0.3">
      <c r="A6" s="161"/>
      <c r="B6" s="161"/>
      <c r="C6" s="161"/>
      <c r="D6" s="161"/>
    </row>
    <row r="7" spans="1:10" ht="18.75" x14ac:dyDescent="0.3">
      <c r="A7" s="156"/>
      <c r="B7" s="156"/>
      <c r="C7" s="156"/>
      <c r="D7" s="156"/>
      <c r="E7" s="157" t="str">
        <f ca="1">"Quảng Ninh, ngày        tháng      năm "&amp;YEAR(TODAY())</f>
        <v>Quảng Ninh, ngày        tháng      năm 2026</v>
      </c>
      <c r="F7" s="157"/>
      <c r="G7" s="157"/>
      <c r="H7" s="157"/>
      <c r="I7" s="157"/>
      <c r="J7" s="157"/>
    </row>
    <row r="8" spans="1:10" ht="18.75" x14ac:dyDescent="0.3">
      <c r="A8" s="139"/>
      <c r="B8" s="139"/>
      <c r="C8" s="139"/>
      <c r="D8" s="139"/>
      <c r="E8" s="145"/>
      <c r="F8" s="145"/>
      <c r="G8" s="145"/>
      <c r="H8" s="145"/>
      <c r="I8" s="145"/>
      <c r="J8" s="145"/>
    </row>
    <row r="9" spans="1:10" ht="18.75" x14ac:dyDescent="0.25">
      <c r="A9" s="162" t="s">
        <v>96</v>
      </c>
      <c r="B9" s="162"/>
      <c r="C9" s="162"/>
      <c r="D9" s="162"/>
      <c r="E9" s="162"/>
      <c r="F9" s="162"/>
      <c r="G9" s="162"/>
      <c r="H9" s="162"/>
      <c r="I9" s="162"/>
      <c r="J9" s="162"/>
    </row>
    <row r="10" spans="1:10" ht="19.5" x14ac:dyDescent="0.35">
      <c r="A10" s="183" t="s">
        <v>140</v>
      </c>
      <c r="B10" s="184"/>
      <c r="C10" s="184"/>
      <c r="D10" s="184"/>
      <c r="E10" s="184"/>
      <c r="F10" s="184"/>
      <c r="G10" s="184"/>
      <c r="H10" s="184"/>
      <c r="I10" s="184"/>
      <c r="J10" s="184"/>
    </row>
    <row r="11" spans="1:10" ht="18.75" x14ac:dyDescent="0.3">
      <c r="A11" s="138"/>
      <c r="B11" s="138"/>
      <c r="C11" s="138"/>
      <c r="D11" s="138"/>
      <c r="E11" s="138"/>
      <c r="F11" s="138"/>
      <c r="G11" s="138"/>
      <c r="H11" s="138"/>
      <c r="I11" s="138"/>
      <c r="J11" s="138"/>
    </row>
    <row r="12" spans="1:10" ht="36.75" customHeight="1" x14ac:dyDescent="0.25">
      <c r="A12" s="185" t="str">
        <f xml:space="preserve"> "               Kính gửi: " &amp;TTCHUNG!G20</f>
        <v xml:space="preserve">               Kính gửi:  Cơ quan CSĐT</v>
      </c>
      <c r="B12" s="185"/>
      <c r="C12" s="185"/>
      <c r="D12" s="185"/>
      <c r="E12" s="185"/>
      <c r="F12" s="185"/>
      <c r="G12" s="185"/>
      <c r="H12" s="185"/>
      <c r="I12" s="185"/>
      <c r="J12" s="185"/>
    </row>
    <row r="13" spans="1:10" ht="36.75" customHeight="1" x14ac:dyDescent="0.25">
      <c r="A13" s="177" t="s">
        <v>98</v>
      </c>
      <c r="B13" s="177"/>
      <c r="C13" s="177"/>
      <c r="D13" s="177"/>
      <c r="E13" s="177"/>
      <c r="F13" s="177"/>
      <c r="G13" s="177"/>
      <c r="H13" s="177"/>
      <c r="I13" s="177"/>
      <c r="J13" s="177"/>
    </row>
    <row r="14" spans="1:10" ht="18" customHeight="1" x14ac:dyDescent="0.25">
      <c r="A14" s="147"/>
      <c r="B14" s="147"/>
      <c r="C14" s="147"/>
      <c r="D14" s="147"/>
      <c r="E14" s="147"/>
      <c r="F14" s="147"/>
      <c r="G14" s="147"/>
      <c r="H14" s="147"/>
      <c r="I14" s="147"/>
      <c r="J14" s="147"/>
    </row>
    <row r="15" spans="1:10" ht="38.25" customHeight="1" x14ac:dyDescent="0.25">
      <c r="A15" s="165" t="s">
        <v>144</v>
      </c>
      <c r="B15" s="162"/>
      <c r="C15" s="162"/>
      <c r="D15" s="162"/>
      <c r="E15" s="162"/>
      <c r="F15" s="162"/>
      <c r="G15" s="162"/>
      <c r="H15" s="162"/>
      <c r="I15" s="162"/>
      <c r="J15" s="162"/>
    </row>
    <row r="16" spans="1:10" ht="22.5" customHeight="1" x14ac:dyDescent="0.25">
      <c r="A16" s="140"/>
      <c r="B16" s="143"/>
      <c r="C16" s="143"/>
      <c r="D16" s="143"/>
      <c r="E16" s="143"/>
      <c r="F16" s="143"/>
      <c r="G16" s="143"/>
      <c r="H16" s="143"/>
      <c r="I16" s="143"/>
      <c r="J16" s="143"/>
    </row>
    <row r="17" spans="1:10" ht="18.75" x14ac:dyDescent="0.3">
      <c r="A17" s="25" t="s">
        <v>19</v>
      </c>
      <c r="B17" s="87" t="str">
        <f>TTCHUNG!C7</f>
        <v>Nguyễn Trung Hiếu</v>
      </c>
      <c r="C17" s="25"/>
      <c r="D17" s="25"/>
      <c r="F17" s="141" t="s">
        <v>20</v>
      </c>
      <c r="G17" s="25" t="str">
        <f>TTCHUNG!E9</f>
        <v>Nam</v>
      </c>
      <c r="H17" s="168" t="s">
        <v>21</v>
      </c>
      <c r="I17" s="168"/>
      <c r="J17" s="25" t="str">
        <f>TTCHUNG!C9</f>
        <v xml:space="preserve">06/12/1987 </v>
      </c>
    </row>
    <row r="18" spans="1:10" ht="18.75" x14ac:dyDescent="0.3">
      <c r="A18" s="25" t="s">
        <v>2</v>
      </c>
      <c r="B18" s="25"/>
      <c r="C18" s="25" t="str">
        <f>TTCHUNG!C8</f>
        <v xml:space="preserve"> </v>
      </c>
      <c r="D18" s="25"/>
      <c r="E18" s="25"/>
      <c r="F18" s="25"/>
      <c r="G18" s="25"/>
      <c r="H18" s="25"/>
      <c r="I18" s="25"/>
      <c r="J18" s="25"/>
    </row>
    <row r="19" spans="1:10" ht="18.75" x14ac:dyDescent="0.3">
      <c r="A19" s="25" t="s">
        <v>3</v>
      </c>
      <c r="B19" s="1"/>
      <c r="C19" s="25"/>
      <c r="D19" s="25"/>
      <c r="E19" s="25"/>
      <c r="F19" s="25"/>
      <c r="G19" s="25"/>
      <c r="H19" s="25"/>
      <c r="I19" s="25"/>
      <c r="J19" s="25"/>
    </row>
    <row r="20" spans="1:10" ht="18.75" x14ac:dyDescent="0.3">
      <c r="A20" s="25" t="s">
        <v>4</v>
      </c>
      <c r="B20" s="25"/>
      <c r="C20" s="25" t="str">
        <f>TTCHUNG!C11</f>
        <v>Nam Hồng , Nam Sách , Hải Dương</v>
      </c>
      <c r="D20" s="25"/>
      <c r="E20" s="25"/>
      <c r="F20" s="25"/>
      <c r="G20" s="25"/>
      <c r="H20" s="25"/>
      <c r="I20" s="25"/>
      <c r="J20" s="25"/>
    </row>
    <row r="21" spans="1:10" ht="18.75" x14ac:dyDescent="0.3">
      <c r="A21" s="25" t="s">
        <v>6</v>
      </c>
      <c r="B21" s="25" t="str">
        <f>TTCHUNG!C12</f>
        <v>Kinh</v>
      </c>
      <c r="C21" s="25"/>
      <c r="D21" s="25"/>
      <c r="E21" s="25"/>
      <c r="F21" s="141" t="s">
        <v>7</v>
      </c>
      <c r="G21" s="25" t="str">
        <f>TTCHUNG!E12</f>
        <v>Việt Nam</v>
      </c>
      <c r="H21" s="25"/>
      <c r="I21" s="25"/>
      <c r="J21" s="25"/>
    </row>
    <row r="22" spans="1:10" ht="19.5" x14ac:dyDescent="0.35">
      <c r="A22" s="25" t="s">
        <v>18</v>
      </c>
      <c r="B22" s="25"/>
      <c r="C22" s="25"/>
      <c r="D22" s="32" t="str">
        <f>TTCHUNG!C13</f>
        <v>Lừa đảo chiếm đoạt tài sản</v>
      </c>
      <c r="E22" s="25"/>
      <c r="F22" s="25"/>
      <c r="G22" s="25"/>
      <c r="H22" s="25"/>
      <c r="I22" s="25"/>
      <c r="J22" s="25"/>
    </row>
    <row r="23" spans="1:10" ht="18.75" x14ac:dyDescent="0.3">
      <c r="A23" s="25" t="s">
        <v>9</v>
      </c>
      <c r="B23" s="65" t="str">
        <f>TTCHUNG!C14</f>
        <v>16/01/2025</v>
      </c>
      <c r="C23" s="25"/>
      <c r="D23" s="25"/>
      <c r="E23" s="168" t="s">
        <v>22</v>
      </c>
      <c r="F23" s="168"/>
      <c r="G23" s="168"/>
      <c r="H23" s="88" t="str">
        <f>TTCHUNG!C18</f>
        <v>PC02</v>
      </c>
      <c r="I23" s="45"/>
      <c r="J23" s="45"/>
    </row>
    <row r="24" spans="1:10" ht="18.75" x14ac:dyDescent="0.3">
      <c r="A24" s="25" t="s">
        <v>103</v>
      </c>
      <c r="B24" s="25"/>
      <c r="C24" s="25"/>
      <c r="D24" s="25"/>
      <c r="E24" s="25"/>
      <c r="F24" s="25"/>
      <c r="G24" s="25"/>
      <c r="I24" s="25"/>
      <c r="J24" s="25"/>
    </row>
    <row r="25" spans="1:10" ht="57" customHeight="1" x14ac:dyDescent="0.25">
      <c r="A25" s="187" t="str">
        <f>"Theo Lệnh tạm giam số          ngày        tháng        năm 2026 của Cơ quan "&amp;TTCHUNG!G20&amp;" - Công an tỉnh Quảng Ninh đến ngày         /      /2026 hết hạn."</f>
        <v>Theo Lệnh tạm giam số          ngày        tháng        năm 2026 của Cơ quan  Cơ quan CSĐT - Công an tỉnh Quảng Ninh đến ngày         /      /2026 hết hạn.</v>
      </c>
      <c r="B25" s="187"/>
      <c r="C25" s="187"/>
      <c r="D25" s="187"/>
      <c r="E25" s="187"/>
      <c r="F25" s="187"/>
      <c r="G25" s="187"/>
      <c r="H25" s="187"/>
      <c r="I25" s="187"/>
      <c r="J25" s="187"/>
    </row>
    <row r="26" spans="1:10" ht="42" customHeight="1" x14ac:dyDescent="0.25">
      <c r="A26" s="188" t="str">
        <f>"         Yêu cầu Cơ quan "&amp;TTCHUNG!G20&amp;"  - Công an tỉnh Quảng Ninh giải quyết theo quy định của pháp luật."</f>
        <v xml:space="preserve">         Yêu cầu Cơ quan  Cơ quan CSĐT  - Công an tỉnh Quảng Ninh giải quyết theo quy định của pháp luật.</v>
      </c>
      <c r="B26" s="188"/>
      <c r="C26" s="188"/>
      <c r="D26" s="188"/>
      <c r="E26" s="188"/>
      <c r="F26" s="188"/>
      <c r="G26" s="188"/>
      <c r="H26" s="188"/>
      <c r="I26" s="188"/>
      <c r="J26" s="188"/>
    </row>
    <row r="27" spans="1:10" x14ac:dyDescent="0.25">
      <c r="A27" s="189"/>
      <c r="B27" s="189"/>
      <c r="C27" s="189"/>
      <c r="D27" s="189"/>
      <c r="E27" s="189"/>
      <c r="F27" s="189"/>
      <c r="G27" s="189"/>
      <c r="H27" s="189"/>
      <c r="I27" s="189"/>
      <c r="J27" s="189"/>
    </row>
    <row r="28" spans="1:10" ht="37.5" customHeight="1" x14ac:dyDescent="0.25">
      <c r="A28" s="169"/>
      <c r="B28" s="169"/>
      <c r="C28" s="169"/>
      <c r="D28" s="169"/>
      <c r="E28" s="169"/>
      <c r="F28" s="165" t="s">
        <v>145</v>
      </c>
      <c r="G28" s="165"/>
      <c r="H28" s="165"/>
      <c r="I28" s="165"/>
      <c r="J28" s="165"/>
    </row>
    <row r="29" spans="1:10" x14ac:dyDescent="0.25">
      <c r="A29" s="167"/>
      <c r="B29" s="167"/>
      <c r="C29" s="167"/>
      <c r="D29" s="167"/>
      <c r="E29" s="167"/>
      <c r="F29" s="31"/>
      <c r="G29" s="167"/>
      <c r="H29" s="167"/>
      <c r="I29" s="167"/>
      <c r="J29" s="167"/>
    </row>
    <row r="30" spans="1:10" ht="15.75" x14ac:dyDescent="0.25">
      <c r="H30" s="142"/>
    </row>
    <row r="31" spans="1:10" ht="18.75" x14ac:dyDescent="0.25">
      <c r="A31" s="144"/>
      <c r="H31" s="28"/>
    </row>
    <row r="32" spans="1:10" ht="15.75" x14ac:dyDescent="0.25">
      <c r="A32" s="89" t="s">
        <v>99</v>
      </c>
      <c r="B32" s="90"/>
      <c r="C32" s="90"/>
      <c r="D32" s="90"/>
      <c r="H32" s="28"/>
    </row>
    <row r="33" spans="1:10" ht="15.75" x14ac:dyDescent="0.25">
      <c r="A33" s="91" t="s">
        <v>100</v>
      </c>
      <c r="B33" s="90"/>
      <c r="C33" s="90"/>
      <c r="D33" s="90"/>
      <c r="H33" s="28"/>
    </row>
    <row r="34" spans="1:10" ht="15.75" x14ac:dyDescent="0.25">
      <c r="A34" s="92" t="s">
        <v>101</v>
      </c>
      <c r="B34" s="92"/>
      <c r="C34" s="92"/>
      <c r="D34" s="93"/>
      <c r="H34" s="146"/>
    </row>
    <row r="35" spans="1:10" ht="18.75" x14ac:dyDescent="0.3">
      <c r="A35" s="186" t="s">
        <v>102</v>
      </c>
      <c r="B35" s="186"/>
      <c r="C35" s="186"/>
      <c r="D35" s="186"/>
      <c r="E35" s="22"/>
      <c r="F35" s="165" t="s">
        <v>91</v>
      </c>
      <c r="G35" s="165"/>
      <c r="H35" s="165"/>
      <c r="I35" s="165"/>
      <c r="J35" s="165"/>
    </row>
    <row r="36" spans="1:10" x14ac:dyDescent="0.25">
      <c r="A36" s="29"/>
    </row>
  </sheetData>
  <mergeCells count="23">
    <mergeCell ref="A29:E29"/>
    <mergeCell ref="G29:J29"/>
    <mergeCell ref="A35:D35"/>
    <mergeCell ref="F35:J35"/>
    <mergeCell ref="E23:G23"/>
    <mergeCell ref="A25:J25"/>
    <mergeCell ref="A26:J26"/>
    <mergeCell ref="A27:J27"/>
    <mergeCell ref="A28:E28"/>
    <mergeCell ref="F28:J28"/>
    <mergeCell ref="H17:I17"/>
    <mergeCell ref="A4:D4"/>
    <mergeCell ref="E4:J4"/>
    <mergeCell ref="A5:D5"/>
    <mergeCell ref="E5:J5"/>
    <mergeCell ref="A6:D6"/>
    <mergeCell ref="A7:D7"/>
    <mergeCell ref="E7:J7"/>
    <mergeCell ref="A9:J9"/>
    <mergeCell ref="A10:J10"/>
    <mergeCell ref="A12:J12"/>
    <mergeCell ref="A13:J13"/>
    <mergeCell ref="A15:J15"/>
  </mergeCells>
  <printOptions horizontalCentered="1" verticalCentered="1"/>
  <pageMargins left="0.7" right="0.2" top="0.25" bottom="0.2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4:J34"/>
  <sheetViews>
    <sheetView tabSelected="1" view="pageBreakPreview" zoomScaleNormal="100" zoomScaleSheetLayoutView="100" workbookViewId="0">
      <selection activeCell="E7" sqref="E7:J7"/>
    </sheetView>
  </sheetViews>
  <sheetFormatPr defaultRowHeight="15" x14ac:dyDescent="0.25"/>
  <cols>
    <col min="1" max="1" width="13.28515625" style="23" customWidth="1"/>
    <col min="2" max="2" width="3" style="23" customWidth="1"/>
    <col min="3" max="3" width="5.140625" style="23" customWidth="1"/>
    <col min="4" max="4" width="11.28515625" style="23" customWidth="1"/>
    <col min="5" max="5" width="9.140625" style="23"/>
    <col min="6" max="6" width="12.4257812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140625" style="23" customWidth="1"/>
    <col min="11" max="16384" width="9.140625" style="23"/>
  </cols>
  <sheetData>
    <row r="4" spans="1:10" ht="17.25" x14ac:dyDescent="0.25">
      <c r="A4" s="158" t="s">
        <v>30</v>
      </c>
      <c r="B4" s="158"/>
      <c r="C4" s="158"/>
      <c r="D4" s="158"/>
      <c r="E4" s="159" t="s">
        <v>16</v>
      </c>
      <c r="F4" s="159"/>
      <c r="G4" s="159"/>
      <c r="H4" s="159"/>
      <c r="I4" s="159"/>
      <c r="J4" s="159"/>
    </row>
    <row r="5" spans="1:10" ht="17.25" x14ac:dyDescent="0.25">
      <c r="A5" s="160" t="s">
        <v>31</v>
      </c>
      <c r="B5" s="160"/>
      <c r="C5" s="160"/>
      <c r="D5" s="160"/>
      <c r="E5" s="159" t="s">
        <v>94</v>
      </c>
      <c r="F5" s="159"/>
      <c r="G5" s="159"/>
      <c r="H5" s="159"/>
      <c r="I5" s="159"/>
      <c r="J5" s="159"/>
    </row>
    <row r="6" spans="1:10" ht="18.75" x14ac:dyDescent="0.3">
      <c r="A6" s="161"/>
      <c r="B6" s="161"/>
      <c r="C6" s="161"/>
      <c r="D6" s="161"/>
    </row>
    <row r="7" spans="1:10" ht="18.75" x14ac:dyDescent="0.3">
      <c r="A7" s="156"/>
      <c r="B7" s="156"/>
      <c r="C7" s="156"/>
      <c r="D7" s="156"/>
      <c r="E7" s="157" t="str">
        <f ca="1">"Quảng Ninh, ngày        tháng      năm "&amp;YEAR(TODAY())</f>
        <v>Quảng Ninh, ngày        tháng      năm 2026</v>
      </c>
      <c r="F7" s="157"/>
      <c r="G7" s="157"/>
      <c r="H7" s="157"/>
      <c r="I7" s="157"/>
      <c r="J7" s="157"/>
    </row>
    <row r="8" spans="1:10" ht="18.75" x14ac:dyDescent="0.3">
      <c r="A8" s="111"/>
      <c r="B8" s="111"/>
      <c r="C8" s="111"/>
      <c r="D8" s="111"/>
      <c r="E8" s="112"/>
      <c r="F8" s="112"/>
      <c r="G8" s="112"/>
      <c r="H8" s="112"/>
      <c r="I8" s="112"/>
      <c r="J8" s="112"/>
    </row>
    <row r="9" spans="1:10" ht="18.75" x14ac:dyDescent="0.25">
      <c r="A9" s="162" t="s">
        <v>96</v>
      </c>
      <c r="B9" s="162"/>
      <c r="C9" s="162"/>
      <c r="D9" s="162"/>
      <c r="E9" s="162"/>
      <c r="F9" s="162"/>
      <c r="G9" s="162"/>
      <c r="H9" s="162"/>
      <c r="I9" s="162"/>
      <c r="J9" s="162"/>
    </row>
    <row r="10" spans="1:10" ht="19.5" x14ac:dyDescent="0.35">
      <c r="A10" s="183" t="s">
        <v>140</v>
      </c>
      <c r="B10" s="184"/>
      <c r="C10" s="184"/>
      <c r="D10" s="184"/>
      <c r="E10" s="184"/>
      <c r="F10" s="184"/>
      <c r="G10" s="184"/>
      <c r="H10" s="184"/>
      <c r="I10" s="184"/>
      <c r="J10" s="184"/>
    </row>
    <row r="11" spans="1:10" ht="18.75" x14ac:dyDescent="0.3">
      <c r="A11" s="113"/>
      <c r="B11" s="113"/>
      <c r="C11" s="113"/>
      <c r="D11" s="113"/>
      <c r="E11" s="113"/>
      <c r="F11" s="113"/>
      <c r="G11" s="113"/>
      <c r="H11" s="113"/>
      <c r="I11" s="113"/>
      <c r="J11" s="113"/>
    </row>
    <row r="12" spans="1:10" ht="36.75" customHeight="1" x14ac:dyDescent="0.25">
      <c r="A12" s="185" t="str">
        <f xml:space="preserve"> "               Kính gửi: Cơ quan " &amp;TTCHUNG!G22&amp;" - Công an tỉnh Quảng Ninh."</f>
        <v xml:space="preserve">               Kính gửi: Cơ quan  - Công an tỉnh Quảng Ninh.</v>
      </c>
      <c r="B12" s="185"/>
      <c r="C12" s="185"/>
      <c r="D12" s="185"/>
      <c r="E12" s="185"/>
      <c r="F12" s="185"/>
      <c r="G12" s="185"/>
      <c r="H12" s="185"/>
      <c r="I12" s="185"/>
      <c r="J12" s="185"/>
    </row>
    <row r="13" spans="1:10" ht="36.75" customHeight="1" x14ac:dyDescent="0.25">
      <c r="A13" s="177" t="s">
        <v>98</v>
      </c>
      <c r="B13" s="177"/>
      <c r="C13" s="177"/>
      <c r="D13" s="177"/>
      <c r="E13" s="177"/>
      <c r="F13" s="177"/>
      <c r="G13" s="177"/>
      <c r="H13" s="177"/>
      <c r="I13" s="177"/>
      <c r="J13" s="177"/>
    </row>
    <row r="14" spans="1:10" ht="38.25" customHeight="1" x14ac:dyDescent="0.25">
      <c r="A14" s="162" t="s">
        <v>96</v>
      </c>
      <c r="B14" s="162"/>
      <c r="C14" s="162"/>
      <c r="D14" s="162"/>
      <c r="E14" s="162"/>
      <c r="F14" s="162"/>
      <c r="G14" s="162"/>
      <c r="H14" s="162"/>
      <c r="I14" s="162"/>
      <c r="J14" s="162"/>
    </row>
    <row r="15" spans="1:10" ht="18.75" x14ac:dyDescent="0.3">
      <c r="A15" s="25" t="s">
        <v>19</v>
      </c>
      <c r="B15" s="87" t="str">
        <f>TTCHUNG!C7</f>
        <v>Nguyễn Trung Hiếu</v>
      </c>
      <c r="C15" s="25"/>
      <c r="D15" s="25"/>
      <c r="F15" s="115" t="s">
        <v>20</v>
      </c>
      <c r="G15" s="25" t="str">
        <f>TTCHUNG!E9</f>
        <v>Nam</v>
      </c>
      <c r="H15" s="168" t="s">
        <v>21</v>
      </c>
      <c r="I15" s="168"/>
      <c r="J15" s="25" t="str">
        <f>TTCHUNG!C9</f>
        <v xml:space="preserve">06/12/1987 </v>
      </c>
    </row>
    <row r="16" spans="1:10" ht="18.75" x14ac:dyDescent="0.3">
      <c r="A16" s="25" t="s">
        <v>2</v>
      </c>
      <c r="B16" s="25"/>
      <c r="C16" s="25" t="str">
        <f>TTCHUNG!C8</f>
        <v xml:space="preserve"> </v>
      </c>
      <c r="D16" s="25"/>
      <c r="E16" s="25"/>
      <c r="F16" s="25"/>
      <c r="G16" s="25"/>
      <c r="H16" s="25"/>
      <c r="I16" s="25"/>
      <c r="J16" s="25"/>
    </row>
    <row r="17" spans="1:10" ht="18.75" x14ac:dyDescent="0.3">
      <c r="A17" s="25" t="s">
        <v>3</v>
      </c>
      <c r="B17" s="1"/>
      <c r="C17" s="25"/>
      <c r="D17" s="25"/>
      <c r="E17" s="25"/>
      <c r="F17" s="25"/>
      <c r="G17" s="25"/>
      <c r="H17" s="25"/>
      <c r="I17" s="25"/>
      <c r="J17" s="119"/>
    </row>
    <row r="18" spans="1:10" ht="18.75" x14ac:dyDescent="0.3">
      <c r="A18" s="25" t="s">
        <v>4</v>
      </c>
      <c r="B18" s="25"/>
      <c r="C18" s="25" t="str">
        <f>TTCHUNG!C11</f>
        <v>Nam Hồng , Nam Sách , Hải Dương</v>
      </c>
      <c r="D18" s="25"/>
      <c r="E18" s="25"/>
      <c r="F18" s="25"/>
      <c r="G18" s="25"/>
      <c r="H18" s="25"/>
      <c r="I18" s="25"/>
      <c r="J18" s="25"/>
    </row>
    <row r="19" spans="1:10" ht="18.75" x14ac:dyDescent="0.3">
      <c r="A19" s="25" t="s">
        <v>6</v>
      </c>
      <c r="B19" s="25" t="str">
        <f>TTCHUNG!C12</f>
        <v>Kinh</v>
      </c>
      <c r="C19" s="25"/>
      <c r="D19" s="25"/>
      <c r="E19" s="25"/>
      <c r="F19" s="115" t="s">
        <v>7</v>
      </c>
      <c r="G19" s="25" t="str">
        <f>TTCHUNG!E12</f>
        <v>Việt Nam</v>
      </c>
      <c r="H19" s="25"/>
      <c r="I19" s="25"/>
      <c r="J19" s="25"/>
    </row>
    <row r="20" spans="1:10" ht="19.5" x14ac:dyDescent="0.35">
      <c r="A20" s="25" t="s">
        <v>18</v>
      </c>
      <c r="B20" s="25"/>
      <c r="C20" s="25"/>
      <c r="D20" s="32" t="str">
        <f>TTCHUNG!C13</f>
        <v>Lừa đảo chiếm đoạt tài sản</v>
      </c>
      <c r="E20" s="25"/>
      <c r="F20" s="25"/>
      <c r="G20" s="25"/>
      <c r="H20" s="25"/>
      <c r="I20" s="25"/>
      <c r="J20" s="25"/>
    </row>
    <row r="21" spans="1:10" ht="18.75" x14ac:dyDescent="0.3">
      <c r="A21" s="25" t="s">
        <v>9</v>
      </c>
      <c r="B21" s="65" t="str">
        <f>TTCHUNG!C14</f>
        <v>16/01/2025</v>
      </c>
      <c r="C21" s="25"/>
      <c r="D21" s="25"/>
      <c r="E21" s="168" t="s">
        <v>22</v>
      </c>
      <c r="F21" s="168"/>
      <c r="G21" s="168"/>
      <c r="H21" s="88" t="str">
        <f>TTCHUNG!C18</f>
        <v>PC02</v>
      </c>
      <c r="I21" s="45"/>
      <c r="J21" s="45"/>
    </row>
    <row r="22" spans="1:10" ht="18.75" x14ac:dyDescent="0.3">
      <c r="A22" s="25" t="s">
        <v>103</v>
      </c>
      <c r="B22" s="25"/>
      <c r="C22" s="25"/>
      <c r="D22" s="25"/>
      <c r="E22" s="25"/>
      <c r="F22" s="25"/>
      <c r="G22" s="25"/>
      <c r="I22" s="25"/>
      <c r="J22" s="25"/>
    </row>
    <row r="23" spans="1:10" ht="57" customHeight="1" x14ac:dyDescent="0.25">
      <c r="A23" s="187" t="str">
        <f>"        Theo Lệnh bắt bị can để tạm giam số "&amp;TTCHUNG!E22&amp;" ngày "&amp;TTCHUNG!F22&amp;" của "&amp;TTCHUNG!G22 &amp; " đến ngày         /      /2026 hết hạn."</f>
        <v xml:space="preserve">        Theo Lệnh bắt bị can để tạm giam số  ngày  của  đến ngày         /      /2026 hết hạn.</v>
      </c>
      <c r="B23" s="187"/>
      <c r="C23" s="187"/>
      <c r="D23" s="187"/>
      <c r="E23" s="187"/>
      <c r="F23" s="187"/>
      <c r="G23" s="187"/>
      <c r="H23" s="187"/>
      <c r="I23" s="187"/>
      <c r="J23" s="187"/>
    </row>
    <row r="24" spans="1:10" ht="42" customHeight="1" x14ac:dyDescent="0.25">
      <c r="A24" s="188" t="str">
        <f>"         Yêu cầu Cơ quan "&amp;TTCHUNG!G22&amp;"- Công an tỉnh Quảng Ninh giải quyết theo quy định của pháp luật."</f>
        <v xml:space="preserve">         Yêu cầu Cơ quan - Công an tỉnh Quảng Ninh giải quyết theo quy định của pháp luật.</v>
      </c>
      <c r="B24" s="188"/>
      <c r="C24" s="188"/>
      <c r="D24" s="188"/>
      <c r="E24" s="188"/>
      <c r="F24" s="188"/>
      <c r="G24" s="188"/>
      <c r="H24" s="188"/>
      <c r="I24" s="188"/>
      <c r="J24" s="188"/>
    </row>
    <row r="25" spans="1:10" x14ac:dyDescent="0.25">
      <c r="A25" s="189"/>
      <c r="B25" s="189"/>
      <c r="C25" s="189"/>
      <c r="D25" s="189"/>
      <c r="E25" s="189"/>
      <c r="F25" s="189"/>
      <c r="G25" s="189"/>
      <c r="H25" s="189"/>
      <c r="I25" s="189"/>
      <c r="J25" s="189"/>
    </row>
    <row r="26" spans="1:10" ht="18.75" customHeight="1" x14ac:dyDescent="0.25">
      <c r="A26" s="169"/>
      <c r="B26" s="169"/>
      <c r="C26" s="169"/>
      <c r="D26" s="169"/>
      <c r="E26" s="169"/>
      <c r="F26" s="165" t="s">
        <v>90</v>
      </c>
      <c r="G26" s="165"/>
      <c r="H26" s="165"/>
      <c r="I26" s="165"/>
      <c r="J26" s="165"/>
    </row>
    <row r="27" spans="1:10" x14ac:dyDescent="0.25">
      <c r="A27" s="167"/>
      <c r="B27" s="167"/>
      <c r="C27" s="167"/>
      <c r="D27" s="167"/>
      <c r="E27" s="167"/>
      <c r="F27" s="31"/>
      <c r="G27" s="167"/>
      <c r="H27" s="167"/>
      <c r="I27" s="167"/>
      <c r="J27" s="167"/>
    </row>
    <row r="28" spans="1:10" ht="15.75" x14ac:dyDescent="0.25">
      <c r="H28" s="116"/>
    </row>
    <row r="29" spans="1:10" ht="18.75" x14ac:dyDescent="0.25">
      <c r="A29" s="114"/>
      <c r="H29" s="28"/>
    </row>
    <row r="30" spans="1:10" ht="15.75" x14ac:dyDescent="0.25">
      <c r="A30" s="89" t="s">
        <v>99</v>
      </c>
      <c r="B30" s="90"/>
      <c r="C30" s="90"/>
      <c r="D30" s="90"/>
      <c r="H30" s="28"/>
    </row>
    <row r="31" spans="1:10" ht="15.75" x14ac:dyDescent="0.25">
      <c r="A31" s="91" t="s">
        <v>100</v>
      </c>
      <c r="B31" s="90"/>
      <c r="C31" s="90"/>
      <c r="D31" s="90"/>
      <c r="H31" s="28"/>
    </row>
    <row r="32" spans="1:10" ht="15.75" x14ac:dyDescent="0.25">
      <c r="A32" s="92" t="s">
        <v>101</v>
      </c>
      <c r="B32" s="92"/>
      <c r="C32" s="92"/>
      <c r="D32" s="93"/>
      <c r="H32" s="117"/>
    </row>
    <row r="33" spans="1:10" ht="18.75" x14ac:dyDescent="0.3">
      <c r="A33" s="186" t="s">
        <v>102</v>
      </c>
      <c r="B33" s="186"/>
      <c r="C33" s="186"/>
      <c r="D33" s="186"/>
      <c r="E33" s="22"/>
      <c r="F33" s="165" t="s">
        <v>91</v>
      </c>
      <c r="G33" s="165"/>
      <c r="H33" s="165"/>
      <c r="I33" s="165"/>
      <c r="J33" s="165"/>
    </row>
    <row r="34" spans="1:10" x14ac:dyDescent="0.25">
      <c r="A34" s="29"/>
    </row>
  </sheetData>
  <mergeCells count="23">
    <mergeCell ref="H15:I15"/>
    <mergeCell ref="A4:D4"/>
    <mergeCell ref="E4:J4"/>
    <mergeCell ref="A5:D5"/>
    <mergeCell ref="E5:J5"/>
    <mergeCell ref="A6:D6"/>
    <mergeCell ref="A7:D7"/>
    <mergeCell ref="E7:J7"/>
    <mergeCell ref="A9:J9"/>
    <mergeCell ref="A10:J10"/>
    <mergeCell ref="A12:J12"/>
    <mergeCell ref="A13:J13"/>
    <mergeCell ref="A14:J14"/>
    <mergeCell ref="A27:E27"/>
    <mergeCell ref="G27:J27"/>
    <mergeCell ref="A33:D33"/>
    <mergeCell ref="F33:J33"/>
    <mergeCell ref="E21:G21"/>
    <mergeCell ref="A23:J23"/>
    <mergeCell ref="A24:J24"/>
    <mergeCell ref="A25:J25"/>
    <mergeCell ref="A26:E26"/>
    <mergeCell ref="F26:J26"/>
  </mergeCells>
  <printOptions horizontalCentered="1" verticalCentered="1"/>
  <pageMargins left="0.7" right="0.2" top="0.25" bottom="0.2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Theo doi CPM</vt:lpstr>
      <vt:lpstr>ĐK</vt:lpstr>
      <vt:lpstr>TTCHUNG</vt:lpstr>
      <vt:lpstr>LAPGS</vt:lpstr>
      <vt:lpstr>KTGS</vt:lpstr>
      <vt:lpstr>LAPGP</vt:lpstr>
      <vt:lpstr>LAPGP-BTG</vt:lpstr>
      <vt:lpstr>GNGiu</vt:lpstr>
      <vt:lpstr>GNGiam</vt:lpstr>
      <vt:lpstr>BTGG</vt:lpstr>
      <vt:lpstr>TBTgiu</vt:lpstr>
      <vt:lpstr>TBGHTgiu</vt:lpstr>
      <vt:lpstr>TBTgiam</vt:lpstr>
      <vt:lpstr>TBTgiam2</vt:lpstr>
      <vt:lpstr>BTGG!Print_Area</vt:lpstr>
      <vt:lpstr>GNGiam!Print_Area</vt:lpstr>
      <vt:lpstr>GNGiu!Print_Area</vt:lpstr>
      <vt:lpstr>KTGS!Print_Area</vt:lpstr>
      <vt:lpstr>LAPGP!Print_Area</vt:lpstr>
      <vt:lpstr>'LAPGP-BTG'!Print_Area</vt:lpstr>
      <vt:lpstr>LAPGS!Print_Area</vt:lpstr>
      <vt:lpstr>TBGHTgiu!Print_Area</vt:lpstr>
      <vt:lpstr>TBTgiam!Print_Area</vt:lpstr>
      <vt:lpstr>TBTgiam2!Print_Area</vt:lpstr>
      <vt:lpstr>TBTgiu!Print_Area</vt:lpstr>
      <vt:lpstr>TTCHUNG!Print_Area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2026-04-02T04:26:58Z</cp:lastPrinted>
  <dcterms:created xsi:type="dcterms:W3CDTF">2022-12-21T08:32:01Z</dcterms:created>
  <dcterms:modified xsi:type="dcterms:W3CDTF">2026-05-24T14:04:46Z</dcterms:modified>
</cp:coreProperties>
</file>