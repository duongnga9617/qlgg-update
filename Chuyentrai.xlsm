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D:\Tien ich\64 bit\"/>
    </mc:Choice>
  </mc:AlternateContent>
  <bookViews>
    <workbookView xWindow="0" yWindow="540" windowWidth="15375" windowHeight="7875" tabRatio="920" firstSheet="3" activeTab="8"/>
  </bookViews>
  <sheets>
    <sheet name="Theo doi CPM" sheetId="37" state="hidden" r:id="rId1"/>
    <sheet name="ĐK" sheetId="35" state="hidden" r:id="rId2"/>
    <sheet name="B1.LAPHS-GS" sheetId="32" r:id="rId3"/>
    <sheet name="B1.LAPHS-GP" sheetId="58" r:id="rId4"/>
    <sheet name="TTCHUNG" sheetId="2" r:id="rId5"/>
    <sheet name="NX" sheetId="62" r:id="rId6"/>
    <sheet name="CĐ" sheetId="61" r:id="rId7"/>
    <sheet name="KTHS" sheetId="60" r:id="rId8"/>
    <sheet name="BGHS" sheetId="63" r:id="rId9"/>
    <sheet name="TONGDAT" sheetId="31" r:id="rId10"/>
  </sheets>
  <definedNames>
    <definedName name="_xlnm.Print_Area" localSheetId="3">'B1.LAPHS-GP'!$A$1:$K$86</definedName>
    <definedName name="_xlnm.Print_Area" localSheetId="2">'B1.LAPHS-GS'!$A$1:$K$90</definedName>
    <definedName name="_xlnm.Print_Area" localSheetId="8">BGHS!$A$1:$M$41</definedName>
    <definedName name="_xlnm.Print_Area" localSheetId="6">CĐ!$A$1:$G$51</definedName>
    <definedName name="_xlnm.Print_Area" localSheetId="7">KTHS!$A$1:$J$82</definedName>
    <definedName name="_xlnm.Print_Area" localSheetId="5">NX!$A$1:$J$43</definedName>
    <definedName name="_xlnm.Print_Area" localSheetId="9">TONGDAT!$A$1:$L$40</definedName>
    <definedName name="_xlnm.Print_Area" localSheetId="4">TTCHUNG!$A$1:$G$28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7" i="58" l="1"/>
  <c r="C18" i="58" l="1"/>
  <c r="G34" i="31" l="1"/>
  <c r="A16" i="60" l="1"/>
  <c r="A15" i="31"/>
  <c r="A8" i="31"/>
  <c r="B34" i="63" l="1"/>
  <c r="H19" i="63"/>
  <c r="E24" i="63"/>
  <c r="C22" i="63"/>
  <c r="C20" i="63"/>
  <c r="G19" i="63"/>
  <c r="C19" i="63"/>
  <c r="E13" i="63"/>
  <c r="M12" i="63"/>
  <c r="I12" i="63"/>
  <c r="D12" i="63"/>
  <c r="F51" i="61" l="1"/>
  <c r="D12" i="61"/>
  <c r="C20" i="60"/>
  <c r="F19" i="60"/>
  <c r="B18" i="62" l="1"/>
  <c r="D17" i="62"/>
  <c r="E16" i="62"/>
  <c r="G15" i="62"/>
  <c r="B15" i="62"/>
  <c r="B14" i="62"/>
  <c r="C12" i="62"/>
  <c r="J11" i="62"/>
  <c r="G11" i="62"/>
  <c r="B11" i="62"/>
  <c r="D9" i="61"/>
  <c r="F31" i="61"/>
  <c r="F30" i="61"/>
  <c r="F29" i="61"/>
  <c r="F28" i="61"/>
  <c r="F26" i="61"/>
  <c r="F25" i="61"/>
  <c r="F23" i="61"/>
  <c r="F21" i="61"/>
  <c r="F20" i="61"/>
  <c r="F19" i="61"/>
  <c r="F18" i="61"/>
  <c r="F17" i="61"/>
  <c r="F16" i="61"/>
  <c r="D11" i="61"/>
  <c r="F10" i="61"/>
  <c r="E50" i="60"/>
  <c r="C25" i="60"/>
  <c r="D24" i="60"/>
  <c r="D23" i="60"/>
  <c r="J22" i="60"/>
  <c r="D22" i="60"/>
  <c r="F20" i="60"/>
  <c r="E26" i="60"/>
  <c r="C23" i="58"/>
  <c r="D22" i="58"/>
  <c r="D21" i="58"/>
  <c r="J20" i="58"/>
  <c r="D20" i="58"/>
  <c r="F18" i="58"/>
  <c r="E24" i="58"/>
  <c r="C20" i="32"/>
  <c r="F19" i="32"/>
  <c r="F20" i="32"/>
  <c r="D7" i="2" l="1"/>
  <c r="D5" i="2"/>
  <c r="F4" i="2"/>
  <c r="D10" i="61" l="1"/>
  <c r="A21" i="31"/>
  <c r="B19" i="31"/>
  <c r="B18" i="31"/>
  <c r="B17" i="31"/>
  <c r="J16" i="31"/>
  <c r="G16" i="31"/>
  <c r="B16" i="31"/>
  <c r="C25" i="32" l="1"/>
  <c r="E58" i="32" l="1"/>
  <c r="D24" i="32"/>
  <c r="D23" i="32"/>
  <c r="J22" i="32"/>
  <c r="D22" i="32"/>
  <c r="E26" i="32" l="1"/>
</calcChain>
</file>

<file path=xl/sharedStrings.xml><?xml version="1.0" encoding="utf-8"?>
<sst xmlns="http://schemas.openxmlformats.org/spreadsheetml/2006/main" count="399" uniqueCount="227">
  <si>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</si>
  <si>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</si>
  <si>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</si>
  <si>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</si>
  <si>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</si>
  <si>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</si>
  <si>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</si>
  <si>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</si>
  <si>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</si>
  <si>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</si>
  <si>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</si>
  <si>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</si>
  <si>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</si>
  <si>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</si>
  <si>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Trung tá</t>
  </si>
  <si>
    <t>Cán bộ</t>
  </si>
  <si>
    <t>Trần Văn Dương</t>
  </si>
  <si>
    <t>CỘNG HÒA XÃ HỘI CHỦ NGHĨA VIỆT NAM</t>
  </si>
  <si>
    <t>BIÊN BẢN</t>
  </si>
  <si>
    <t xml:space="preserve">Hành vi phạm tội: </t>
  </si>
  <si>
    <t xml:space="preserve">Họ và tên: </t>
  </si>
  <si>
    <t>Giới tính:</t>
  </si>
  <si>
    <t>Sinh ngày:</t>
  </si>
  <si>
    <t>(Ký, ghi rõ họ tên)</t>
  </si>
  <si>
    <t xml:space="preserve"> giờ </t>
  </si>
  <si>
    <t>Án phạt:</t>
  </si>
  <si>
    <t xml:space="preserve">     Chúng tôi gồm:</t>
  </si>
  <si>
    <t xml:space="preserve">1.Họ và tên: </t>
  </si>
  <si>
    <t xml:space="preserve">2.Họ và tên: </t>
  </si>
  <si>
    <t>CÁN BỘ LẬP BIÊN BẢN</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</si>
  <si>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</si>
  <si>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</si>
  <si>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</si>
  <si>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</si>
  <si>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</si>
  <si>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</si>
  <si>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</si>
  <si>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</si>
  <si>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</si>
  <si>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</si>
  <si>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</si>
  <si>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</si>
  <si>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 xml:space="preserve">Đơn vị công tác: </t>
  </si>
  <si>
    <t>CÔNG AN TỈNH QUẢNG NINH</t>
  </si>
  <si>
    <t>TRẠI TẠM GIAM</t>
  </si>
  <si>
    <t xml:space="preserve">Tội danh: </t>
  </si>
  <si>
    <t>.............................................................................. và nhận Quyết định thi hành án.</t>
  </si>
  <si>
    <t>Người bị kết án phạt tù</t>
  </si>
  <si>
    <t>Tống đạt Quyết định thi hành án phạt tù
cho người bị xử phạt tù đang bị tạm giam</t>
  </si>
  <si>
    <t xml:space="preserve">     (Biên bản được lập thành 03 bản: 01 bản gửi PC10, 01 bản gửi PC11, 01 bản lưu hồ sơ GP)</t>
  </si>
  <si>
    <t xml:space="preserve">đã đọc lại Quyết định thi hành </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</si>
  <si>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</si>
  <si>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</si>
  <si>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</si>
  <si>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</si>
  <si>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</si>
  <si>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</si>
  <si>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</si>
  <si>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</si>
  <si>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</si>
  <si>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</si>
  <si>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</si>
  <si>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</si>
  <si>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</si>
  <si>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</si>
  <si>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</si>
  <si>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</si>
  <si>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</si>
  <si>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</si>
  <si>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</si>
  <si>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</si>
  <si>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</si>
  <si>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</si>
  <si>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</si>
  <si>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</si>
  <si>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</si>
  <si>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</si>
  <si>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</si>
  <si>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</si>
  <si>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</si>
  <si>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</si>
  <si>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</si>
  <si>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</si>
  <si>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</si>
  <si>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</si>
  <si>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</si>
  <si>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</si>
  <si>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</si>
  <si>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</si>
  <si>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</si>
  <si>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</si>
  <si>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</si>
  <si>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</si>
  <si>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</si>
  <si>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</si>
  <si>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</si>
  <si>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</si>
  <si>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</si>
  <si>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</si>
  <si>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</si>
  <si>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</si>
  <si>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</si>
  <si>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</si>
  <si>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</si>
  <si>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</si>
  <si>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</si>
  <si>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</si>
  <si>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</si>
  <si>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</si>
  <si>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</si>
  <si>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</si>
  <si>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</si>
  <si>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</si>
  <si>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</si>
  <si>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</si>
  <si>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</si>
  <si>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</si>
  <si>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</si>
  <si>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</si>
  <si>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</si>
  <si>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</si>
  <si>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</si>
  <si>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</si>
  <si>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</si>
  <si>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</si>
  <si>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</si>
  <si>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</si>
  <si>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</si>
  <si>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</si>
  <si>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</si>
  <si>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</si>
  <si>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</si>
  <si>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</si>
  <si>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</si>
  <si>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</si>
  <si>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</si>
  <si>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</si>
  <si>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</si>
  <si>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</si>
  <si>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</si>
  <si>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</si>
  <si>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</si>
  <si>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</si>
  <si>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</si>
  <si>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</si>
  <si>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</si>
  <si>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r>
      <t xml:space="preserve">án phạt tù trên đây, thấy </t>
    </r>
    <r>
      <rPr>
        <i/>
        <sz val="14"/>
        <color theme="1"/>
        <rFont val="Times New Roman"/>
        <family val="1"/>
      </rPr>
      <t>(đúng, sai, hoặc có ý kiến):..............................................................................</t>
    </r>
  </si>
  <si>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</si>
  <si>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</si>
  <si>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</si>
  <si>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</si>
  <si>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</si>
  <si>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</si>
  <si>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</si>
  <si>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 xml:space="preserve">     Biên bản kết thúc vào hồi      giờ      cùng ngày, đã đọc cho mọi người nghe, không ai có ý kiến nào khác, nhất trí cùng ký tên./.</t>
  </si>
  <si>
    <t>Thượng tá</t>
  </si>
  <si>
    <t>Chấp hành nội quy, chưa có sai phạm gì.</t>
  </si>
  <si>
    <r>
      <t xml:space="preserve">Lập hồ sơ </t>
    </r>
    <r>
      <rPr>
        <sz val="14"/>
        <rFont val="Times New Roman"/>
        <family val="1"/>
      </rPr>
      <t>đối với người bị tạm giữ có trích yếu như sau:</t>
    </r>
  </si>
  <si>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</si>
  <si>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</si>
  <si>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</si>
  <si>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</si>
  <si>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Quảng Ninh, ngày       tháng      năm 2025</t>
  </si>
  <si>
    <t>Tôi: Đỗ Thanh Xuân</t>
  </si>
  <si>
    <t>Phó Giám thị Trại tạm giam</t>
  </si>
  <si>
    <t xml:space="preserve">          - Căn cứ Quyết định tạm giữ số       ngày      tháng     năm 2025 của Cơ quan cảnh sát điều tra - Công an tỉnh Quảng Ninh;</t>
  </si>
  <si>
    <t>Trại tạm giam Công an tỉnh</t>
  </si>
  <si>
    <r>
      <rPr>
        <sz val="14"/>
        <rFont val="Times New Roman"/>
        <family val="1"/>
      </rPr>
      <t xml:space="preserve">Tôi: </t>
    </r>
    <r>
      <rPr>
        <b/>
        <sz val="14"/>
        <rFont val="Times New Roman"/>
        <family val="1"/>
      </rPr>
      <t>Nguyễn Văn Tùng</t>
    </r>
  </si>
  <si>
    <t>Thượng úy</t>
  </si>
  <si>
    <t>Đặng Thị Thu Hằng</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</si>
  <si>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</si>
  <si>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</si>
  <si>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</si>
  <si>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</si>
  <si>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</si>
  <si>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</si>
  <si>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BIÊN BẢN BÀN GIAO HỒ SƠ, TÀI LIỆU</t>
  </si>
  <si>
    <r>
      <t xml:space="preserve">         Căn cứ vào nhu cầu công tác và ý kiến phê duyệt của lãnh đạo............................ tại  văn bản (</t>
    </r>
    <r>
      <rPr>
        <sz val="12"/>
        <rFont val="Times New Roman"/>
        <family val="1"/>
      </rPr>
      <t>báo cáo, phiếu đề xuất,</t>
    </r>
    <r>
      <rPr>
        <sz val="14"/>
        <rFont val="Times New Roman"/>
        <family val="1"/>
      </rPr>
      <t xml:space="preserve"> .............) ........................................ về việc bàn giao, cung cấp hồ sơ, tài liệu.</t>
    </r>
  </si>
  <si>
    <t>Hôm nay vào hồi......giờ......, ngày...... tháng ....... năm.........</t>
  </si>
  <si>
    <t>Tại:</t>
  </si>
  <si>
    <t>Tôi tên là:</t>
  </si>
  <si>
    <t>Cấp bậc:</t>
  </si>
  <si>
    <t xml:space="preserve">Chức vụ: </t>
  </si>
  <si>
    <t>Tiến hành bàn giao cho đồng chí:..............................................................</t>
  </si>
  <si>
    <t>...........................</t>
  </si>
  <si>
    <t>Chức vụ:</t>
  </si>
  <si>
    <t>…………………………………..</t>
  </si>
  <si>
    <t>Đơn vị:</t>
  </si>
  <si>
    <t>Hồ sơ, tài liệu sau đây:............................................................................................................</t>
  </si>
  <si>
    <t>Trích yếu hồ sơ, tài liệu</t>
  </si>
  <si>
    <t>Số đăng ký</t>
  </si>
  <si>
    <t>Số lưu trữ</t>
  </si>
  <si>
    <t>Tổng số tờ</t>
  </si>
  <si>
    <t>Tên:</t>
  </si>
  <si>
    <t>Tổng số tờ:......</t>
  </si>
  <si>
    <t>ĐKTT:</t>
  </si>
  <si>
    <t>(Từ tờ ..............
đến tờ.............)</t>
  </si>
  <si>
    <t>HVPT:</t>
  </si>
  <si>
    <t>Lý do bàn giao: ...................................................................................................................................</t>
  </si>
  <si>
    <r>
      <t xml:space="preserve">Tình trạng hồ sơ, tài liệu khi bàn giao </t>
    </r>
    <r>
      <rPr>
        <sz val="9"/>
        <rFont val="Times New Roman"/>
        <family val="1"/>
      </rPr>
      <t>(1)</t>
    </r>
    <r>
      <rPr>
        <sz val="14"/>
        <rFont val="Times New Roman"/>
        <family val="1"/>
      </rPr>
      <t>:</t>
    </r>
  </si>
  <si>
    <t>.............................................................................</t>
  </si>
  <si>
    <r>
      <t>Sau khi kiểm tra nhận đủ, thống nhất và cùng ký tên dưới đây. Biên bản này được lập thành 03 bản: một bản lưu vào hồ sơ, một bản lưu tại đơn vị bàn giao trước khi bàn giao, một bản gửi cơ quan hồ sơ nơi đăng ký</t>
    </r>
    <r>
      <rPr>
        <i/>
        <sz val="14"/>
        <rFont val="Times New Roman"/>
        <family val="1"/>
      </rPr>
      <t xml:space="preserve"> (Nếu bàn giao tài liệu lập 02 bản: 01 bản gửi người nhận tài liệu, 01 bản lưu vào hồ sơ có tài liệu bàn giao).</t>
    </r>
  </si>
  <si>
    <t>Báo diễn biến cho:...........................................................................................</t>
  </si>
  <si>
    <r>
      <t xml:space="preserve">NGƯỜI BÀN GIAO 
</t>
    </r>
    <r>
      <rPr>
        <i/>
        <sz val="12"/>
        <rFont val="Times New Roman"/>
        <family val="1"/>
      </rPr>
      <t>(Ký, ghi rõ họ tên)</t>
    </r>
  </si>
  <si>
    <r>
      <rPr>
        <b/>
        <sz val="13"/>
        <rFont val="Times New Roman"/>
        <family val="1"/>
      </rPr>
      <t>NGƯỜI NHẬN BÀN GIAO</t>
    </r>
    <r>
      <rPr>
        <sz val="13"/>
        <rFont val="Times New Roman"/>
        <family val="1"/>
      </rPr>
      <t xml:space="preserve">
</t>
    </r>
    <r>
      <rPr>
        <i/>
        <sz val="12"/>
        <rFont val="Times New Roman"/>
        <family val="1"/>
      </rPr>
      <t>(Ký, ghi rõ họ tên)</t>
    </r>
  </si>
  <si>
    <r>
      <t xml:space="preserve">XÁC NHẬN CỦA LÃNH ĐẠO
ĐƠN VỊ CÓ HỒ SƠ BÀN GIAO
</t>
    </r>
    <r>
      <rPr>
        <i/>
        <sz val="12"/>
        <rFont val="Times New Roman"/>
        <family val="1"/>
      </rPr>
      <t>(Ký, ghi rõ họ tên và đóng dấu hoặc ký số)</t>
    </r>
  </si>
  <si>
    <r>
      <t xml:space="preserve">XÁC NHẬN CỦA LÃNH ĐẠO
ĐƠN VỊ NHẬN HỒ SƠ BÀN GIAO
</t>
    </r>
    <r>
      <rPr>
        <i/>
        <sz val="12"/>
        <rFont val="Times New Roman"/>
        <family val="1"/>
      </rPr>
      <t>(Ký, ghi rõ họ tên và đóng dấu hoặc ký số)</t>
    </r>
  </si>
  <si>
    <t>PC11 - CAT Quảng Ninh.</t>
  </si>
  <si>
    <t>Lao động tự do.</t>
  </si>
  <si>
    <t>Trại giam Vĩnh Quang - Cục C10 - BCA.</t>
  </si>
  <si>
    <t>Đại úy</t>
  </si>
  <si>
    <r>
      <rPr>
        <sz val="14"/>
        <rFont val="Times New Roman"/>
        <family val="1"/>
      </rPr>
      <t xml:space="preserve">Tôi: </t>
    </r>
    <r>
      <rPr>
        <b/>
        <sz val="14"/>
        <rFont val="Times New Roman"/>
        <family val="1"/>
      </rPr>
      <t>Trần Văn Dương</t>
    </r>
  </si>
  <si>
    <t>Đang tạm giam tại: Trại tạm giam - Công an tỉnh Quảng Ninh.</t>
  </si>
  <si>
    <t>QĐ THAPT số</t>
  </si>
  <si>
    <t>Ngày</t>
  </si>
  <si>
    <t xml:space="preserve">Tòa </t>
  </si>
  <si>
    <t>Số QĐ CHAPT</t>
  </si>
  <si>
    <t>TTG nhận ngày</t>
  </si>
  <si>
    <t xml:space="preserve">      Hành vi phạm tội: </t>
  </si>
  <si>
    <t>Quảng Ninh, ngày 10 tháng 4 năm 2018</t>
  </si>
  <si>
    <t>Quảng Ninh, ngày.............tháng.............năm 2026.</t>
  </si>
  <si>
    <t>Quảng Ninh, ngày       tháng      năm 2026</t>
  </si>
  <si>
    <t>( Từ ngày        /     /202     đến ngày        /     /202   )</t>
  </si>
  <si>
    <t xml:space="preserve">Quảng Ninh, ngày        tháng      năm 202   </t>
  </si>
  <si>
    <t>1610GP0925/225CO</t>
  </si>
  <si>
    <t>(Về việc chấp hành nội quy Cơ sở giam giữ)</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</si>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</sst>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2"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2"/>
      <color theme="1"/>
      <name val="Times New Roman"/>
      <family val="1"/>
    </font>
    <font>
      <sz val="14"/>
      <color rgb="FFFF0000"/>
      <name val="Times New Roman"/>
      <family val="1"/>
    </font>
    <font>
      <b/>
      <sz val="13"/>
      <color theme="1"/>
      <name val="Times New Roman"/>
      <family val="1"/>
    </font>
    <font>
      <sz val="8"/>
      <name val="Calibri"/>
      <family val="2"/>
      <scheme val="minor"/>
    </font>
    <font>
      <i/>
      <sz val="14"/>
      <color theme="1"/>
      <name val="Times New Roman"/>
      <family val="1"/>
    </font>
    <font>
      <sz val="13"/>
      <color theme="1"/>
      <name val="Times New Roman"/>
      <family val="1"/>
    </font>
    <font>
      <sz val="14"/>
      <color rgb="FF0000CC"/>
      <name val="Times New Roman"/>
      <family val="1"/>
    </font>
    <font>
      <sz val="13.5"/>
      <color theme="1"/>
      <name val="Times New Roman"/>
      <family val="1"/>
    </font>
    <font>
      <sz val="14"/>
      <color theme="1"/>
      <name val="Calibri"/>
      <family val="2"/>
      <scheme val="minor"/>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b/>
      <sz val="14"/>
      <color rgb="FF0000CC"/>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i/>
      <sz val="14"/>
      <color theme="1"/>
      <name val="Times New Roman"/>
      <family val="1"/>
    </font>
    <font>
      <b/>
      <i/>
      <sz val="11"/>
      <color theme="1"/>
      <name val="Times New Roman"/>
      <family val="1"/>
    </font>
    <font>
      <i/>
      <sz val="10"/>
      <color theme="1"/>
      <name val="Times New Roman"/>
      <family val="1"/>
    </font>
    <font>
      <sz val="13.5"/>
      <name val="Calibri"/>
      <family val="2"/>
      <scheme val="minor"/>
    </font>
    <font>
      <b/>
      <sz val="11"/>
      <name val="Times New Roman"/>
      <family val="1"/>
    </font>
    <font>
      <b/>
      <i/>
      <sz val="13"/>
      <name val="Times New Roman"/>
      <family val="1"/>
    </font>
    <font>
      <sz val="9"/>
      <name val="Times New Roman"/>
      <family val="1"/>
    </font>
    <font>
      <b/>
      <i/>
      <sz val="11"/>
      <name val="Times New Roman"/>
      <family val="1"/>
    </font>
    <font>
      <sz val="14"/>
      <color theme="0"/>
      <name val="Times New Roman"/>
      <family val="1"/>
    </font>
    <font>
      <b/>
      <sz val="12"/>
      <color rgb="FF000000"/>
      <name val="Times New Roman"/>
      <family val="1"/>
    </font>
    <font>
      <b/>
      <sz val="13"/>
      <color rgb="FF000000"/>
      <name val="Times New Roman"/>
      <family val="1"/>
    </font>
  </fonts>
  <fills count="9">
    <fill>
      <patternFill patternType="none"/>
    </fill>
    <fill>
      <patternFill patternType="gray125"/>
    </fill>
    <fill>
      <patternFill patternType="solid">
        <fgColor rgb="FF66FF99"/>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s>
  <borders count="31">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auto="1"/>
      </left>
      <right/>
      <top/>
      <bottom style="hair">
        <color auto="1"/>
      </bottom>
      <diagonal/>
    </border>
  </borders>
  <cellStyleXfs count="1">
    <xf numFmtId="0" fontId="0" fillId="0" borderId="0"/>
  </cellStyleXfs>
  <cellXfs count="236">
    <xf numFmtId="0" fontId="0" fillId="0" borderId="0" xfId="0"/>
    <xf numFmtId="0" fontId="1" fillId="0" borderId="0" xfId="0" applyFont="1"/>
    <xf numFmtId="0" fontId="2" fillId="0" borderId="0" xfId="0" applyFont="1"/>
    <xf numFmtId="0" fontId="6" fillId="0" borderId="0" xfId="0" applyFont="1"/>
    <xf numFmtId="0" fontId="10" fillId="0" borderId="0" xfId="0" applyFont="1"/>
    <xf numFmtId="0" fontId="1" fillId="0" borderId="4" xfId="0" applyFont="1" applyBorder="1"/>
    <xf numFmtId="0" fontId="5" fillId="0" borderId="4" xfId="0" applyFont="1" applyBorder="1"/>
    <xf numFmtId="0" fontId="11" fillId="0" borderId="4" xfId="0" applyFont="1" applyBorder="1"/>
    <xf numFmtId="0" fontId="9" fillId="2" borderId="5" xfId="0" applyFont="1" applyFill="1" applyBorder="1"/>
    <xf numFmtId="0" fontId="6" fillId="2" borderId="0" xfId="0" applyFont="1" applyFill="1"/>
    <xf numFmtId="0" fontId="6" fillId="2" borderId="2" xfId="0" applyFont="1" applyFill="1" applyBorder="1" applyAlignment="1">
      <alignment vertical="center" wrapText="1"/>
    </xf>
    <xf numFmtId="0" fontId="9" fillId="0" borderId="0" xfId="0" applyFont="1"/>
    <xf numFmtId="0" fontId="9" fillId="0" borderId="5" xfId="0" applyFont="1" applyBorder="1"/>
    <xf numFmtId="0" fontId="9" fillId="0" borderId="3" xfId="0" applyFont="1" applyBorder="1"/>
    <xf numFmtId="0" fontId="6" fillId="0" borderId="3" xfId="0" applyFont="1" applyBorder="1"/>
    <xf numFmtId="0" fontId="16" fillId="0" borderId="0" xfId="0" applyFont="1"/>
    <xf numFmtId="0" fontId="9" fillId="0" borderId="4" xfId="0" applyFont="1" applyBorder="1"/>
    <xf numFmtId="0" fontId="9" fillId="0" borderId="4" xfId="0" applyFont="1" applyBorder="1" applyAlignment="1">
      <alignment horizontal="right"/>
    </xf>
    <xf numFmtId="0" fontId="15" fillId="0" borderId="4" xfId="0" applyFont="1" applyBorder="1"/>
    <xf numFmtId="0" fontId="6" fillId="5" borderId="4" xfId="0" applyFont="1" applyFill="1" applyBorder="1"/>
    <xf numFmtId="0" fontId="15" fillId="5" borderId="4" xfId="0" applyFont="1" applyFill="1" applyBorder="1"/>
    <xf numFmtId="0" fontId="18" fillId="0" borderId="0" xfId="0" applyFont="1" applyAlignment="1">
      <alignment horizontal="center"/>
    </xf>
    <xf numFmtId="0" fontId="18" fillId="0" borderId="0" xfId="0" applyFont="1"/>
    <xf numFmtId="0" fontId="19" fillId="0" borderId="0" xfId="0" applyFont="1"/>
    <xf numFmtId="0" fontId="20" fillId="0" borderId="0" xfId="0" applyFont="1" applyAlignment="1">
      <alignment horizontal="justify" vertical="center"/>
    </xf>
    <xf numFmtId="0" fontId="20" fillId="0" borderId="0" xfId="0" applyFont="1"/>
    <xf numFmtId="0" fontId="24" fillId="0" borderId="0" xfId="0" applyFont="1" applyAlignment="1">
      <alignment horizontal="center" vertical="center" wrapText="1"/>
    </xf>
    <xf numFmtId="0" fontId="25" fillId="0" borderId="0" xfId="0" applyFont="1" applyAlignment="1">
      <alignment horizontal="center" vertical="center" wrapText="1"/>
    </xf>
    <xf numFmtId="0" fontId="24" fillId="0" borderId="0" xfId="0" applyFont="1" applyAlignment="1">
      <alignment vertical="center" wrapText="1"/>
    </xf>
    <xf numFmtId="0" fontId="22" fillId="0" borderId="0" xfId="0" quotePrefix="1" applyFont="1" applyAlignment="1">
      <alignment vertical="center"/>
    </xf>
    <xf numFmtId="0" fontId="27" fillId="0" borderId="0" xfId="0" applyFont="1" applyAlignment="1">
      <alignment vertical="center"/>
    </xf>
    <xf numFmtId="0" fontId="20" fillId="0" borderId="0" xfId="0" applyFont="1" applyAlignment="1">
      <alignment horizontal="right"/>
    </xf>
    <xf numFmtId="0" fontId="26" fillId="0" borderId="0" xfId="0" applyFont="1" applyAlignment="1">
      <alignment vertical="center" wrapText="1"/>
    </xf>
    <xf numFmtId="0" fontId="30" fillId="0" borderId="0" xfId="0" applyFont="1"/>
    <xf numFmtId="0" fontId="20" fillId="0" borderId="0" xfId="0" quotePrefix="1" applyFont="1"/>
    <xf numFmtId="0" fontId="16" fillId="0" borderId="3" xfId="0" applyFont="1" applyBorder="1"/>
    <xf numFmtId="0" fontId="32" fillId="0" borderId="3" xfId="0" applyFont="1" applyBorder="1"/>
    <xf numFmtId="0" fontId="17" fillId="0" borderId="3" xfId="0" applyFont="1" applyBorder="1"/>
    <xf numFmtId="0" fontId="28" fillId="0" borderId="0" xfId="0" applyFont="1"/>
    <xf numFmtId="0" fontId="14" fillId="0" borderId="4" xfId="0" applyFont="1" applyBorder="1"/>
    <xf numFmtId="0" fontId="20" fillId="0" borderId="0" xfId="0" applyFont="1" applyAlignment="1">
      <alignment vertical="center"/>
    </xf>
    <xf numFmtId="0" fontId="6" fillId="6" borderId="4" xfId="0" applyFont="1" applyFill="1" applyBorder="1"/>
    <xf numFmtId="0" fontId="20" fillId="0" borderId="0" xfId="0" applyFont="1" applyAlignment="1">
      <alignment horizontal="center"/>
    </xf>
    <xf numFmtId="0" fontId="37" fillId="0" borderId="0" xfId="0" applyFont="1" applyAlignment="1">
      <alignment horizontal="right"/>
    </xf>
    <xf numFmtId="0" fontId="18" fillId="0" borderId="0" xfId="0" applyFont="1" applyAlignment="1">
      <alignment horizontal="center" vertical="center"/>
    </xf>
    <xf numFmtId="0" fontId="0" fillId="3" borderId="0" xfId="0" applyFill="1"/>
    <xf numFmtId="0" fontId="19" fillId="3" borderId="0" xfId="0" applyFont="1" applyFill="1"/>
    <xf numFmtId="0" fontId="18" fillId="3" borderId="0" xfId="0" applyFont="1" applyFill="1"/>
    <xf numFmtId="0" fontId="12" fillId="3" borderId="0" xfId="0" applyFont="1" applyFill="1"/>
    <xf numFmtId="0" fontId="36" fillId="3" borderId="0" xfId="0" applyFont="1" applyFill="1" applyAlignment="1">
      <alignment horizontal="center" vertical="center" wrapText="1"/>
    </xf>
    <xf numFmtId="0" fontId="22" fillId="3" borderId="0" xfId="0" quotePrefix="1" applyFont="1" applyFill="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20" fillId="0" borderId="0" xfId="0" applyFont="1" applyAlignment="1">
      <alignment horizontal="right" vertical="center"/>
    </xf>
    <xf numFmtId="0" fontId="35" fillId="0" borderId="0" xfId="0" applyFont="1"/>
    <xf numFmtId="0" fontId="40" fillId="0" borderId="0" xfId="0" applyFont="1"/>
    <xf numFmtId="0" fontId="41" fillId="0" borderId="0" xfId="0" applyFont="1"/>
    <xf numFmtId="0" fontId="43" fillId="0" borderId="0" xfId="0" applyFont="1"/>
    <xf numFmtId="0" fontId="38" fillId="0" borderId="0" xfId="0" applyFont="1"/>
    <xf numFmtId="0" fontId="44" fillId="0" borderId="0" xfId="0" applyFont="1"/>
    <xf numFmtId="0" fontId="42" fillId="0" borderId="0" xfId="0" applyFont="1"/>
    <xf numFmtId="0" fontId="21" fillId="0" borderId="0" xfId="0" applyFont="1" applyAlignment="1">
      <alignment horizontal="center" vertical="center"/>
    </xf>
    <xf numFmtId="0" fontId="46" fillId="0" borderId="0" xfId="0" applyFont="1"/>
    <xf numFmtId="0" fontId="21" fillId="0" borderId="3" xfId="0" applyFont="1" applyBorder="1" applyAlignment="1">
      <alignment horizontal="center" vertical="center"/>
    </xf>
    <xf numFmtId="0" fontId="21" fillId="0" borderId="3" xfId="0" applyFont="1" applyBorder="1" applyAlignment="1">
      <alignment horizontal="center" vertical="center" wrapText="1"/>
    </xf>
    <xf numFmtId="0" fontId="21"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6" fillId="6" borderId="3" xfId="0" applyFont="1" applyFill="1" applyBorder="1"/>
    <xf numFmtId="0" fontId="15" fillId="7" borderId="4" xfId="0" applyFont="1" applyFill="1" applyBorder="1"/>
    <xf numFmtId="0" fontId="9" fillId="0" borderId="3" xfId="0" applyFont="1" applyBorder="1" applyAlignment="1">
      <alignment horizontal="center" vertical="center"/>
    </xf>
    <xf numFmtId="0" fontId="9" fillId="0" borderId="3" xfId="0" applyFont="1" applyBorder="1" applyAlignment="1">
      <alignment horizontal="center" vertical="center" wrapText="1"/>
    </xf>
    <xf numFmtId="0" fontId="27" fillId="0" borderId="0" xfId="0" applyFont="1"/>
    <xf numFmtId="0" fontId="23" fillId="0" borderId="0" xfId="0" applyFont="1"/>
    <xf numFmtId="0" fontId="49" fillId="2" borderId="2" xfId="0" applyFont="1" applyFill="1" applyBorder="1" applyAlignment="1">
      <alignment vertical="center" wrapText="1"/>
    </xf>
    <xf numFmtId="0" fontId="50" fillId="0" borderId="3" xfId="0" applyFont="1" applyBorder="1"/>
    <xf numFmtId="0" fontId="37" fillId="0" borderId="0" xfId="0" applyFont="1"/>
    <xf numFmtId="14" fontId="20" fillId="0" borderId="0" xfId="0" applyNumberFormat="1" applyFont="1"/>
    <xf numFmtId="14" fontId="35" fillId="0" borderId="0" xfId="0" applyNumberFormat="1" applyFont="1"/>
    <xf numFmtId="0" fontId="18" fillId="0" borderId="11" xfId="0" applyFont="1" applyBorder="1" applyAlignment="1">
      <alignment horizontal="center"/>
    </xf>
    <xf numFmtId="0" fontId="20" fillId="0" borderId="0" xfId="0" applyFont="1" applyAlignment="1">
      <alignment horizontal="center" vertical="center"/>
    </xf>
    <xf numFmtId="14" fontId="23" fillId="0" borderId="0" xfId="0" applyNumberFormat="1" applyFont="1" applyAlignment="1">
      <alignment vertical="center"/>
    </xf>
    <xf numFmtId="0" fontId="27" fillId="0" borderId="0" xfId="0" applyFont="1" applyAlignment="1">
      <alignment horizontal="center" vertical="center"/>
    </xf>
    <xf numFmtId="0" fontId="23" fillId="0" borderId="3" xfId="0" applyFont="1" applyBorder="1"/>
    <xf numFmtId="0" fontId="23" fillId="0" borderId="3" xfId="0" applyFont="1" applyBorder="1" applyAlignment="1">
      <alignment horizontal="center" vertical="center"/>
    </xf>
    <xf numFmtId="0" fontId="19" fillId="0" borderId="0" xfId="0" applyFont="1" applyAlignment="1">
      <alignment horizontal="center" vertical="center"/>
    </xf>
    <xf numFmtId="0" fontId="23" fillId="0" borderId="3" xfId="0" quotePrefix="1" applyFont="1" applyBorder="1" applyAlignment="1">
      <alignment horizontal="center" vertical="center"/>
    </xf>
    <xf numFmtId="0" fontId="1" fillId="3" borderId="0" xfId="0" applyFont="1" applyFill="1"/>
    <xf numFmtId="0" fontId="2" fillId="3" borderId="0" xfId="0" applyFont="1" applyFill="1" applyAlignment="1">
      <alignment horizontal="center"/>
    </xf>
    <xf numFmtId="0" fontId="2" fillId="3" borderId="0" xfId="0" applyFont="1" applyFill="1"/>
    <xf numFmtId="0" fontId="1" fillId="3" borderId="0" xfId="0" applyFont="1" applyFill="1" applyAlignment="1">
      <alignment horizontal="right"/>
    </xf>
    <xf numFmtId="0" fontId="3" fillId="3" borderId="0" xfId="0" applyFont="1" applyFill="1"/>
    <xf numFmtId="0" fontId="1" fillId="3" borderId="0" xfId="0" applyFont="1" applyFill="1" applyAlignment="1">
      <alignment horizontal="center" vertical="center"/>
    </xf>
    <xf numFmtId="0" fontId="11" fillId="3" borderId="0" xfId="0" applyFont="1" applyFill="1" applyAlignment="1">
      <alignment vertical="center"/>
    </xf>
    <xf numFmtId="0" fontId="1" fillId="3" borderId="0" xfId="0" applyFont="1" applyFill="1" applyAlignment="1">
      <alignment vertical="center"/>
    </xf>
    <xf numFmtId="0" fontId="2" fillId="3" borderId="0" xfId="0" applyFont="1" applyFill="1" applyAlignment="1">
      <alignment horizontal="center" vertical="center" wrapText="1"/>
    </xf>
    <xf numFmtId="0" fontId="2" fillId="3" borderId="0" xfId="0" applyFont="1" applyFill="1" applyAlignment="1">
      <alignment vertical="center" wrapText="1"/>
    </xf>
    <xf numFmtId="0" fontId="53" fillId="3" borderId="0" xfId="0" applyFont="1" applyFill="1" applyAlignment="1">
      <alignment vertical="center" wrapText="1"/>
    </xf>
    <xf numFmtId="0" fontId="3"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9" fillId="0" borderId="4" xfId="0" quotePrefix="1" applyFont="1" applyBorder="1"/>
    <xf numFmtId="0" fontId="21" fillId="0" borderId="0" xfId="0" applyFont="1" applyAlignment="1">
      <alignment horizontal="right" vertical="center"/>
    </xf>
    <xf numFmtId="0" fontId="23" fillId="0" borderId="0" xfId="0" applyFont="1" applyAlignment="1">
      <alignment vertical="center"/>
    </xf>
    <xf numFmtId="0" fontId="35" fillId="0" borderId="0" xfId="0" applyFont="1" applyAlignment="1">
      <alignment vertical="center"/>
    </xf>
    <xf numFmtId="0" fontId="54" fillId="0" borderId="0" xfId="0" applyFont="1"/>
    <xf numFmtId="0" fontId="55" fillId="0" borderId="0" xfId="0" applyFont="1" applyAlignment="1">
      <alignment vertical="center"/>
    </xf>
    <xf numFmtId="0" fontId="55" fillId="0" borderId="3" xfId="0" applyFont="1" applyBorder="1" applyAlignment="1">
      <alignment vertical="center"/>
    </xf>
    <xf numFmtId="0" fontId="18" fillId="0" borderId="3" xfId="0" applyFont="1" applyBorder="1" applyAlignment="1">
      <alignment horizontal="center" vertical="center"/>
    </xf>
    <xf numFmtId="0" fontId="27" fillId="0" borderId="14" xfId="0" applyFont="1" applyBorder="1"/>
    <xf numFmtId="0" fontId="25" fillId="0" borderId="15" xfId="0" applyFont="1" applyBorder="1"/>
    <xf numFmtId="0" fontId="25" fillId="0" borderId="16" xfId="0" applyFont="1" applyBorder="1"/>
    <xf numFmtId="0" fontId="20" fillId="0" borderId="16" xfId="0" applyFont="1" applyBorder="1" applyAlignment="1">
      <alignment horizontal="center"/>
    </xf>
    <xf numFmtId="0" fontId="27" fillId="0" borderId="16" xfId="0" applyFont="1" applyBorder="1"/>
    <xf numFmtId="0" fontId="18" fillId="0" borderId="16" xfId="0" applyFont="1" applyBorder="1" applyAlignment="1">
      <alignment horizontal="left"/>
    </xf>
    <xf numFmtId="0" fontId="37" fillId="0" borderId="14" xfId="0" applyFont="1" applyBorder="1"/>
    <xf numFmtId="0" fontId="27" fillId="0" borderId="8" xfId="0" applyFont="1" applyBorder="1"/>
    <xf numFmtId="0" fontId="27" fillId="0" borderId="23" xfId="0" applyFont="1" applyBorder="1"/>
    <xf numFmtId="0" fontId="27" fillId="0" borderId="9" xfId="0" applyFont="1" applyBorder="1"/>
    <xf numFmtId="0" fontId="20" fillId="0" borderId="24" xfId="0" applyFont="1" applyBorder="1"/>
    <xf numFmtId="0" fontId="20" fillId="0" borderId="25" xfId="0" applyFont="1" applyBorder="1"/>
    <xf numFmtId="14" fontId="20" fillId="0" borderId="25" xfId="0" applyNumberFormat="1" applyFont="1" applyBorder="1"/>
    <xf numFmtId="0" fontId="27" fillId="0" borderId="25" xfId="0" applyFont="1" applyBorder="1"/>
    <xf numFmtId="0" fontId="20" fillId="0" borderId="9" xfId="0" applyFont="1" applyBorder="1"/>
    <xf numFmtId="0" fontId="58" fillId="0" borderId="0" xfId="0" applyFont="1"/>
    <xf numFmtId="0" fontId="59" fillId="0" borderId="0" xfId="0" applyFont="1"/>
    <xf numFmtId="0" fontId="6" fillId="3" borderId="4" xfId="0" applyFont="1" applyFill="1" applyBorder="1"/>
    <xf numFmtId="0" fontId="15" fillId="5" borderId="6" xfId="0" applyFont="1" applyFill="1" applyBorder="1"/>
    <xf numFmtId="0" fontId="9" fillId="0" borderId="26" xfId="0" applyFont="1" applyBorder="1"/>
    <xf numFmtId="0" fontId="33" fillId="4" borderId="27" xfId="0" applyFont="1" applyFill="1" applyBorder="1" applyAlignment="1">
      <alignment horizontal="center"/>
    </xf>
    <xf numFmtId="0" fontId="33" fillId="4" borderId="18" xfId="0" applyFont="1" applyFill="1" applyBorder="1" applyAlignment="1">
      <alignment horizontal="center"/>
    </xf>
    <xf numFmtId="0" fontId="33" fillId="4" borderId="28" xfId="0" applyFont="1" applyFill="1" applyBorder="1" applyAlignment="1">
      <alignment horizontal="center"/>
    </xf>
    <xf numFmtId="0" fontId="17" fillId="4" borderId="29" xfId="0" applyFont="1" applyFill="1" applyBorder="1"/>
    <xf numFmtId="49" fontId="17" fillId="6" borderId="3" xfId="0" applyNumberFormat="1" applyFont="1" applyFill="1" applyBorder="1" applyAlignment="1">
      <alignment horizontal="center" vertical="center"/>
    </xf>
    <xf numFmtId="49" fontId="9" fillId="8" borderId="3"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0" fontId="9" fillId="0" borderId="30" xfId="0" applyFont="1" applyBorder="1"/>
    <xf numFmtId="0" fontId="9" fillId="0" borderId="6" xfId="0" applyFont="1" applyBorder="1"/>
    <xf numFmtId="49" fontId="9" fillId="6" borderId="2" xfId="0" applyNumberFormat="1" applyFont="1" applyFill="1" applyBorder="1" applyAlignment="1">
      <alignment horizontal="center" vertical="center"/>
    </xf>
    <xf numFmtId="0" fontId="9" fillId="4" borderId="21" xfId="0" applyFont="1" applyFill="1" applyBorder="1"/>
    <xf numFmtId="0" fontId="9" fillId="4" borderId="1" xfId="0" applyFont="1" applyFill="1" applyBorder="1"/>
    <xf numFmtId="0" fontId="1" fillId="0" borderId="29" xfId="0" applyFont="1" applyBorder="1"/>
    <xf numFmtId="0" fontId="2" fillId="3" borderId="0" xfId="0" applyFont="1" applyFill="1" applyAlignment="1">
      <alignment vertical="center"/>
    </xf>
    <xf numFmtId="0" fontId="20" fillId="0" borderId="0" xfId="0" applyFont="1" applyBorder="1"/>
    <xf numFmtId="0" fontId="1" fillId="3" borderId="0" xfId="0" applyFont="1" applyFill="1" applyBorder="1"/>
    <xf numFmtId="49" fontId="9" fillId="6" borderId="2" xfId="0" applyNumberFormat="1" applyFont="1" applyFill="1" applyBorder="1" applyAlignment="1">
      <alignment horizontal="center" vertical="center" wrapText="1"/>
    </xf>
    <xf numFmtId="49" fontId="15" fillId="0" borderId="4" xfId="0" applyNumberFormat="1" applyFont="1" applyBorder="1"/>
    <xf numFmtId="0" fontId="25" fillId="0" borderId="0" xfId="0" applyFont="1"/>
    <xf numFmtId="0" fontId="21" fillId="0" borderId="0" xfId="0" applyFont="1" applyAlignment="1">
      <alignment vertical="center"/>
    </xf>
    <xf numFmtId="0" fontId="60" fillId="0" borderId="0" xfId="0" applyFont="1"/>
    <xf numFmtId="0" fontId="61" fillId="0" borderId="0" xfId="0" applyFont="1"/>
    <xf numFmtId="0" fontId="18" fillId="0" borderId="0" xfId="0" applyFont="1" applyAlignment="1">
      <alignment horizontal="center" vertical="center" wrapText="1"/>
    </xf>
    <xf numFmtId="0" fontId="25" fillId="0" borderId="0" xfId="0" applyFont="1" applyAlignment="1">
      <alignment horizontal="center" vertical="center" wrapText="1"/>
    </xf>
    <xf numFmtId="0" fontId="47" fillId="0" borderId="0" xfId="0" applyFont="1" applyAlignment="1">
      <alignment horizontal="center"/>
    </xf>
    <xf numFmtId="0" fontId="1" fillId="0" borderId="0" xfId="0" applyFont="1" applyAlignment="1">
      <alignment horizontal="center"/>
    </xf>
    <xf numFmtId="0" fontId="18" fillId="0" borderId="0" xfId="0" applyFont="1" applyAlignment="1">
      <alignment horizontal="center"/>
    </xf>
    <xf numFmtId="0" fontId="26" fillId="0" borderId="0" xfId="0" applyFont="1" applyAlignment="1">
      <alignment horizontal="center" vertical="center" wrapText="1"/>
    </xf>
    <xf numFmtId="0" fontId="42" fillId="0" borderId="0" xfId="0" applyFont="1" applyAlignment="1">
      <alignment horizontal="center"/>
    </xf>
    <xf numFmtId="0" fontId="20" fillId="0" borderId="0" xfId="0" applyFont="1" applyAlignment="1">
      <alignment horizontal="center"/>
    </xf>
    <xf numFmtId="0" fontId="20" fillId="0" borderId="0" xfId="0" applyFont="1" applyAlignment="1">
      <alignment horizontal="left"/>
    </xf>
    <xf numFmtId="0" fontId="31" fillId="0" borderId="0" xfId="0" applyFont="1" applyAlignment="1">
      <alignment horizontal="center" vertical="center"/>
    </xf>
    <xf numFmtId="0" fontId="18" fillId="0" borderId="0" xfId="0" applyFont="1" applyAlignment="1">
      <alignment horizontal="center" vertical="center" wrapText="1"/>
    </xf>
    <xf numFmtId="0" fontId="20" fillId="0" borderId="0" xfId="0" applyFont="1" applyAlignment="1">
      <alignment horizontal="right"/>
    </xf>
    <xf numFmtId="0" fontId="25" fillId="0" borderId="0" xfId="0" applyFont="1" applyAlignment="1">
      <alignment horizontal="center" vertical="center" wrapText="1"/>
    </xf>
    <xf numFmtId="14" fontId="20" fillId="0" borderId="0" xfId="0" applyNumberFormat="1" applyFont="1" applyAlignment="1">
      <alignment horizontal="left"/>
    </xf>
    <xf numFmtId="0" fontId="18" fillId="0" borderId="0" xfId="0" applyFont="1" applyAlignment="1">
      <alignment horizontal="center" vertical="center"/>
    </xf>
    <xf numFmtId="0" fontId="20" fillId="0" borderId="0" xfId="0" applyFont="1" applyAlignment="1">
      <alignment horizontal="justify" vertical="center"/>
    </xf>
    <xf numFmtId="0" fontId="1" fillId="0" borderId="0" xfId="0" applyFont="1" applyAlignment="1">
      <alignment horizontal="justify" vertical="center"/>
    </xf>
    <xf numFmtId="0" fontId="37" fillId="0" borderId="0" xfId="0" applyFont="1" applyAlignment="1">
      <alignment horizontal="right"/>
    </xf>
    <xf numFmtId="0" fontId="24" fillId="0" borderId="0" xfId="0" applyFont="1" applyAlignment="1">
      <alignment horizontal="center"/>
    </xf>
    <xf numFmtId="0" fontId="31" fillId="0" borderId="0" xfId="0" applyFont="1" applyAlignment="1">
      <alignment horizontal="center"/>
    </xf>
    <xf numFmtId="0" fontId="39" fillId="0" borderId="0" xfId="0" applyFont="1" applyAlignment="1">
      <alignment horizontal="center"/>
    </xf>
    <xf numFmtId="0" fontId="25" fillId="0" borderId="0" xfId="0" applyFont="1" applyAlignment="1">
      <alignment horizontal="center" vertical="center"/>
    </xf>
    <xf numFmtId="0" fontId="13" fillId="4" borderId="0" xfId="0" applyFont="1" applyFill="1" applyAlignment="1">
      <alignment horizontal="center"/>
    </xf>
    <xf numFmtId="0" fontId="33" fillId="4" borderId="6" xfId="0" applyFont="1" applyFill="1" applyBorder="1" applyAlignment="1">
      <alignment horizontal="center"/>
    </xf>
    <xf numFmtId="0" fontId="33" fillId="4" borderId="1" xfId="0" applyFont="1" applyFill="1" applyBorder="1" applyAlignment="1">
      <alignment horizontal="center"/>
    </xf>
    <xf numFmtId="0" fontId="33" fillId="4" borderId="7" xfId="0" applyFont="1" applyFill="1" applyBorder="1" applyAlignment="1">
      <alignment horizontal="center"/>
    </xf>
    <xf numFmtId="0" fontId="9" fillId="0" borderId="0" xfId="0" applyFont="1" applyAlignment="1">
      <alignment horizontal="center"/>
    </xf>
    <xf numFmtId="0" fontId="9" fillId="0" borderId="0" xfId="0" applyFont="1" applyAlignment="1">
      <alignment horizontal="right" indent="1"/>
    </xf>
    <xf numFmtId="0" fontId="23" fillId="0" borderId="0" xfId="0" applyFont="1" applyAlignment="1">
      <alignment horizontal="center"/>
    </xf>
    <xf numFmtId="0" fontId="2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5" fillId="0" borderId="0" xfId="0" applyFont="1" applyAlignment="1">
      <alignment horizontal="left"/>
    </xf>
    <xf numFmtId="0" fontId="37" fillId="0" borderId="0" xfId="0" applyFont="1" applyAlignment="1">
      <alignment horizontal="center" wrapText="1"/>
    </xf>
    <xf numFmtId="0" fontId="18" fillId="0" borderId="0" xfId="0" applyFont="1" applyAlignment="1">
      <alignment horizontal="left" vertical="center"/>
    </xf>
    <xf numFmtId="0" fontId="20" fillId="0" borderId="0" xfId="0" applyFont="1" applyAlignment="1">
      <alignment horizontal="left" vertical="center"/>
    </xf>
    <xf numFmtId="14" fontId="23" fillId="0" borderId="0" xfId="0" applyNumberFormat="1" applyFont="1" applyAlignment="1">
      <alignment horizontal="left" vertical="center"/>
    </xf>
    <xf numFmtId="0" fontId="20" fillId="0" borderId="0" xfId="0" applyFont="1" applyAlignment="1">
      <alignment horizontal="left" vertical="center" wrapText="1"/>
    </xf>
    <xf numFmtId="0" fontId="48" fillId="0" borderId="3" xfId="0" applyFont="1" applyBorder="1" applyAlignment="1">
      <alignment horizontal="left" vertical="center" wrapText="1"/>
    </xf>
    <xf numFmtId="0" fontId="21" fillId="0" borderId="3" xfId="0" applyFont="1" applyBorder="1" applyAlignment="1">
      <alignment horizontal="center" vertical="center"/>
    </xf>
    <xf numFmtId="0" fontId="21" fillId="0" borderId="3" xfId="0" applyFont="1" applyBorder="1" applyAlignment="1">
      <alignment horizontal="left"/>
    </xf>
    <xf numFmtId="0" fontId="23" fillId="0" borderId="3" xfId="0" applyFont="1" applyBorder="1" applyAlignment="1">
      <alignment horizontal="left" vertical="center"/>
    </xf>
    <xf numFmtId="0" fontId="23" fillId="0" borderId="3" xfId="0" applyFont="1" applyBorder="1" applyAlignment="1">
      <alignment horizontal="left" vertical="center" wrapText="1"/>
    </xf>
    <xf numFmtId="0" fontId="21" fillId="0" borderId="3" xfId="0" applyFont="1" applyBorder="1" applyAlignment="1">
      <alignment horizontal="left" vertical="center"/>
    </xf>
    <xf numFmtId="0" fontId="20" fillId="0" borderId="0" xfId="0" applyFont="1" applyAlignment="1">
      <alignment horizontal="center" vertical="center"/>
    </xf>
    <xf numFmtId="0" fontId="21" fillId="0" borderId="0" xfId="0" applyFont="1" applyAlignment="1">
      <alignment horizontal="left" vertical="center"/>
    </xf>
    <xf numFmtId="0" fontId="21" fillId="0" borderId="0" xfId="0" applyFont="1" applyAlignment="1">
      <alignment horizontal="center" wrapText="1"/>
    </xf>
    <xf numFmtId="0" fontId="20" fillId="0" borderId="0" xfId="0" applyFont="1" applyAlignment="1">
      <alignment horizontal="justify" vertical="center" wrapText="1"/>
    </xf>
    <xf numFmtId="0" fontId="21" fillId="0" borderId="0" xfId="0" applyFont="1" applyAlignment="1">
      <alignment horizontal="center" vertical="center" wrapText="1"/>
    </xf>
    <xf numFmtId="0" fontId="23" fillId="0" borderId="0" xfId="0" applyFont="1" applyAlignment="1">
      <alignment horizontal="center" wrapText="1"/>
    </xf>
    <xf numFmtId="0" fontId="35" fillId="0" borderId="0" xfId="0" applyFont="1" applyAlignment="1">
      <alignment horizontal="center" vertical="center"/>
    </xf>
    <xf numFmtId="0" fontId="18" fillId="0" borderId="12" xfId="0" applyFont="1" applyBorder="1" applyAlignment="1">
      <alignment horizontal="center" vertical="center"/>
    </xf>
    <xf numFmtId="0" fontId="18" fillId="0" borderId="2" xfId="0" applyFont="1" applyBorder="1" applyAlignment="1">
      <alignment horizontal="center" vertical="center"/>
    </xf>
    <xf numFmtId="0" fontId="18" fillId="0" borderId="13" xfId="0" applyFont="1" applyBorder="1" applyAlignment="1">
      <alignment horizontal="center" vertical="center"/>
    </xf>
    <xf numFmtId="0" fontId="18" fillId="0" borderId="3" xfId="0" applyFont="1" applyBorder="1" applyAlignment="1">
      <alignment horizontal="center" vertical="center"/>
    </xf>
    <xf numFmtId="0" fontId="55" fillId="6" borderId="14" xfId="0" applyFont="1" applyFill="1" applyBorder="1" applyAlignment="1">
      <alignment horizontal="center" vertical="center" wrapText="1"/>
    </xf>
    <xf numFmtId="0" fontId="55" fillId="6" borderId="8" xfId="0" applyFont="1" applyFill="1" applyBorder="1" applyAlignment="1">
      <alignment horizontal="center" vertical="center" wrapText="1"/>
    </xf>
    <xf numFmtId="0" fontId="55" fillId="6" borderId="23" xfId="0" applyFont="1" applyFill="1" applyBorder="1" applyAlignment="1">
      <alignment horizontal="center" vertical="center" wrapText="1"/>
    </xf>
    <xf numFmtId="0" fontId="55" fillId="6" borderId="9" xfId="0" applyFont="1" applyFill="1" applyBorder="1" applyAlignment="1">
      <alignment horizontal="center" vertical="center" wrapText="1"/>
    </xf>
    <xf numFmtId="0" fontId="23" fillId="0" borderId="17" xfId="0" applyFont="1" applyBorder="1" applyAlignment="1">
      <alignment horizontal="left" wrapText="1"/>
    </xf>
    <xf numFmtId="0" fontId="23" fillId="0" borderId="18" xfId="0" applyFont="1" applyBorder="1" applyAlignment="1">
      <alignment horizontal="left" wrapText="1"/>
    </xf>
    <xf numFmtId="0" fontId="23" fillId="0" borderId="19" xfId="0" applyFont="1" applyBorder="1" applyAlignment="1">
      <alignment horizontal="left" wrapText="1"/>
    </xf>
    <xf numFmtId="0" fontId="23" fillId="0" borderId="20" xfId="0" applyFont="1" applyBorder="1" applyAlignment="1">
      <alignment horizontal="left" wrapText="1"/>
    </xf>
    <xf numFmtId="0" fontId="23" fillId="0" borderId="21" xfId="0" applyFont="1" applyBorder="1" applyAlignment="1">
      <alignment horizontal="left" wrapText="1"/>
    </xf>
    <xf numFmtId="0" fontId="23" fillId="0" borderId="22" xfId="0" applyFont="1" applyBorder="1" applyAlignment="1">
      <alignment horizontal="left" wrapText="1"/>
    </xf>
    <xf numFmtId="0" fontId="48" fillId="0" borderId="8" xfId="0" applyFont="1" applyBorder="1" applyAlignment="1">
      <alignment horizontal="center" wrapText="1"/>
    </xf>
    <xf numFmtId="0" fontId="56" fillId="0" borderId="17" xfId="0" applyFont="1" applyBorder="1" applyAlignment="1">
      <alignment horizontal="left" vertical="center" wrapText="1"/>
    </xf>
    <xf numFmtId="0" fontId="56" fillId="0" borderId="18" xfId="0" applyFont="1" applyBorder="1" applyAlignment="1">
      <alignment horizontal="left" vertical="center" wrapText="1"/>
    </xf>
    <xf numFmtId="0" fontId="56" fillId="0" borderId="19" xfId="0" applyFont="1" applyBorder="1" applyAlignment="1">
      <alignment horizontal="left" vertical="center" wrapText="1"/>
    </xf>
    <xf numFmtId="0" fontId="56" fillId="0" borderId="20" xfId="0" applyFont="1" applyBorder="1" applyAlignment="1">
      <alignment horizontal="left" vertical="center" wrapText="1"/>
    </xf>
    <xf numFmtId="0" fontId="56" fillId="0" borderId="21" xfId="0" applyFont="1" applyBorder="1" applyAlignment="1">
      <alignment horizontal="left" vertical="center" wrapText="1"/>
    </xf>
    <xf numFmtId="0" fontId="56" fillId="0" borderId="22" xfId="0" applyFont="1" applyBorder="1" applyAlignment="1">
      <alignment horizontal="left" vertical="center" wrapText="1"/>
    </xf>
    <xf numFmtId="0" fontId="36" fillId="3" borderId="0" xfId="0" applyFont="1" applyFill="1" applyAlignment="1">
      <alignment horizontal="center" vertical="center" wrapText="1"/>
    </xf>
    <xf numFmtId="0" fontId="53" fillId="3" borderId="0" xfId="0" applyFont="1" applyFill="1" applyAlignment="1">
      <alignment horizontal="center" vertical="center" wrapText="1"/>
    </xf>
    <xf numFmtId="0" fontId="2" fillId="3" borderId="0" xfId="0" applyFont="1" applyFill="1" applyAlignment="1">
      <alignment horizontal="center" vertical="center" wrapText="1"/>
    </xf>
    <xf numFmtId="0" fontId="51" fillId="3" borderId="0" xfId="0" applyFont="1" applyFill="1" applyAlignment="1">
      <alignment horizontal="left" vertical="center" wrapText="1"/>
    </xf>
    <xf numFmtId="0" fontId="1" fillId="3" borderId="0" xfId="0" applyFont="1" applyFill="1" applyAlignment="1">
      <alignment horizontal="justify" vertical="center"/>
    </xf>
    <xf numFmtId="0" fontId="52" fillId="3" borderId="0" xfId="0" applyFont="1" applyFill="1" applyAlignment="1">
      <alignment horizontal="justify" vertic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2" fillId="3"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0000CC"/>
      <color rgb="FFFF6600"/>
      <color rgb="FFF8CBAD"/>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TCHUNG!A1"/><Relationship Id="rId7" Type="http://schemas.openxmlformats.org/officeDocument/2006/relationships/hyperlink" Target="#'PC22'!A1"/><Relationship Id="rId2" Type="http://schemas.openxmlformats.org/officeDocument/2006/relationships/image" Target="../media/image1.jpeg"/><Relationship Id="rId1" Type="http://schemas.openxmlformats.org/officeDocument/2006/relationships/hyperlink" Target="#B3.TKHS!A1"/><Relationship Id="rId6" Type="http://schemas.openxmlformats.org/officeDocument/2006/relationships/hyperlink" Target="#TONGDAT!A1"/><Relationship Id="rId5" Type="http://schemas.openxmlformats.org/officeDocument/2006/relationships/hyperlink" Target="#B1.LAPHS!A1"/><Relationship Id="rId4" Type="http://schemas.openxmlformats.org/officeDocument/2006/relationships/hyperlink" Target="#'5.NX1'!A1"/></Relationships>
</file>

<file path=xl/drawings/_rels/drawing2.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3.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4.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18" Type="http://schemas.openxmlformats.org/officeDocument/2006/relationships/image" Target="../media/image6.png"/><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17" Type="http://schemas.openxmlformats.org/officeDocument/2006/relationships/image" Target="../media/image1.jpeg"/><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8.xml.rels><?xml version="1.0" encoding="UTF-8" standalone="yes"?>
<Relationships xmlns="http://schemas.openxmlformats.org/package/2006/relationships"><Relationship Id="rId3" Type="http://schemas.openxmlformats.org/officeDocument/2006/relationships/hyperlink" Target="#B1.LAPHS!A1"/><Relationship Id="rId7" Type="http://schemas.microsoft.com/office/2007/relationships/hdphoto" Target="../media/hdphoto1.wdp"/><Relationship Id="rId2" Type="http://schemas.openxmlformats.org/officeDocument/2006/relationships/hyperlink" Target="#'5.NX1'!A1"/><Relationship Id="rId1" Type="http://schemas.openxmlformats.org/officeDocument/2006/relationships/hyperlink" Target="#TTCHUNG!A1"/><Relationship Id="rId6" Type="http://schemas.openxmlformats.org/officeDocument/2006/relationships/image" Target="../media/image7.png"/><Relationship Id="rId5" Type="http://schemas.openxmlformats.org/officeDocument/2006/relationships/hyperlink" Target="#'PC22'!A1"/><Relationship Id="rId4" Type="http://schemas.openxmlformats.org/officeDocument/2006/relationships/hyperlink" Target="#TONGD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3</xdr:row>
      <xdr:rowOff>28576</xdr:rowOff>
    </xdr:to>
    <xdr:sp macro="" textlink="">
      <xdr:nvSpPr>
        <xdr:cNvPr id="3" name="Text Box 1">
          <a:extLst>
            <a:ext uri="{FF2B5EF4-FFF2-40B4-BE49-F238E27FC236}">
              <a16:creationId xmlns:a16="http://schemas.microsoft.com/office/drawing/2014/main" id="{00000000-0008-0000-02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590549</xdr:colOff>
      <xdr:row>5</xdr:row>
      <xdr:rowOff>9525</xdr:rowOff>
    </xdr:from>
    <xdr:to>
      <xdr:col>3</xdr:col>
      <xdr:colOff>209549</xdr:colOff>
      <xdr:row>5</xdr:row>
      <xdr:rowOff>9525</xdr:rowOff>
    </xdr:to>
    <xdr:sp macro="" textlink="">
      <xdr:nvSpPr>
        <xdr:cNvPr id="4" name="Line 1">
          <a:extLst>
            <a:ext uri="{FF2B5EF4-FFF2-40B4-BE49-F238E27FC236}">
              <a16:creationId xmlns:a16="http://schemas.microsoft.com/office/drawing/2014/main" id="{00000000-0008-0000-0200-000004000000}"/>
            </a:ext>
          </a:extLst>
        </xdr:cNvPr>
        <xdr:cNvSpPr>
          <a:spLocks noChangeShapeType="1"/>
        </xdr:cNvSpPr>
      </xdr:nvSpPr>
      <xdr:spPr bwMode="auto">
        <a:xfrm>
          <a:off x="590549" y="9715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30" name="Rectangle: Rounded Corners 29">
          <a:hlinkClick xmlns:r="http://schemas.openxmlformats.org/officeDocument/2006/relationships" r:id="rId1"/>
          <a:extLst>
            <a:ext uri="{FF2B5EF4-FFF2-40B4-BE49-F238E27FC236}">
              <a16:creationId xmlns:a16="http://schemas.microsoft.com/office/drawing/2014/main" id="{00000000-0008-0000-0200-00001E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146844</xdr:colOff>
      <xdr:row>30</xdr:row>
      <xdr:rowOff>114300</xdr:rowOff>
    </xdr:from>
    <xdr:to>
      <xdr:col>9</xdr:col>
      <xdr:colOff>962025</xdr:colOff>
      <xdr:row>34</xdr:row>
      <xdr:rowOff>180975</xdr:rowOff>
    </xdr:to>
    <xdr:pic>
      <xdr:nvPicPr>
        <xdr:cNvPr id="39" name="Picture 38" descr="z6643237854000_29774847381e07c8f48b94b49acc9acd">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2" cstate="print">
          <a:lum bright="40000"/>
          <a:extLst>
            <a:ext uri="{28A0092B-C50C-407E-A947-70E740481C1C}">
              <a14:useLocalDpi xmlns:a14="http://schemas.microsoft.com/office/drawing/2010/main" val="0"/>
            </a:ext>
          </a:extLst>
        </a:blip>
        <a:srcRect/>
        <a:stretch>
          <a:fillRect/>
        </a:stretch>
      </xdr:blipFill>
      <xdr:spPr bwMode="auto">
        <a:xfrm>
          <a:off x="3642519" y="7829550"/>
          <a:ext cx="2243931"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123825</xdr:colOff>
      <xdr:row>3</xdr:row>
      <xdr:rowOff>66675</xdr:rowOff>
    </xdr:from>
    <xdr:to>
      <xdr:col>13</xdr:col>
      <xdr:colOff>161925</xdr:colOff>
      <xdr:row>4</xdr:row>
      <xdr:rowOff>123825</xdr:rowOff>
    </xdr:to>
    <xdr:sp macro="" textlink="">
      <xdr:nvSpPr>
        <xdr:cNvPr id="45" name="Rectangle: Rounded Corners 2">
          <a:hlinkClick xmlns:r="http://schemas.openxmlformats.org/officeDocument/2006/relationships" r:id="rId3"/>
          <a:extLst>
            <a:ext uri="{FF2B5EF4-FFF2-40B4-BE49-F238E27FC236}">
              <a16:creationId xmlns:a16="http://schemas.microsoft.com/office/drawing/2014/main" id="{00000000-0008-0000-0200-00002D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13</xdr:row>
      <xdr:rowOff>66675</xdr:rowOff>
    </xdr:from>
    <xdr:to>
      <xdr:col>13</xdr:col>
      <xdr:colOff>171450</xdr:colOff>
      <xdr:row>14</xdr:row>
      <xdr:rowOff>123825</xdr:rowOff>
    </xdr:to>
    <xdr:sp macro="" textlink="">
      <xdr:nvSpPr>
        <xdr:cNvPr id="46" name="Rectangle: Rounded Corners 7">
          <a:hlinkClick xmlns:r="http://schemas.openxmlformats.org/officeDocument/2006/relationships" r:id="rId4"/>
          <a:extLst>
            <a:ext uri="{FF2B5EF4-FFF2-40B4-BE49-F238E27FC236}">
              <a16:creationId xmlns:a16="http://schemas.microsoft.com/office/drawing/2014/main" id="{00000000-0008-0000-0200-00002E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3</xdr:row>
      <xdr:rowOff>76200</xdr:rowOff>
    </xdr:from>
    <xdr:to>
      <xdr:col>15</xdr:col>
      <xdr:colOff>361950</xdr:colOff>
      <xdr:row>4</xdr:row>
      <xdr:rowOff>133350</xdr:rowOff>
    </xdr:to>
    <xdr:sp macro="" textlink="">
      <xdr:nvSpPr>
        <xdr:cNvPr id="47" name="Rectangle: Rounded Corners 20">
          <a:hlinkClick xmlns:r="http://schemas.openxmlformats.org/officeDocument/2006/relationships" r:id="rId5"/>
          <a:extLst>
            <a:ext uri="{FF2B5EF4-FFF2-40B4-BE49-F238E27FC236}">
              <a16:creationId xmlns:a16="http://schemas.microsoft.com/office/drawing/2014/main" id="{00000000-0008-0000-0200-00002F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7</xdr:row>
      <xdr:rowOff>57150</xdr:rowOff>
    </xdr:from>
    <xdr:to>
      <xdr:col>15</xdr:col>
      <xdr:colOff>371475</xdr:colOff>
      <xdr:row>8</xdr:row>
      <xdr:rowOff>114300</xdr:rowOff>
    </xdr:to>
    <xdr:sp macro="" textlink="">
      <xdr:nvSpPr>
        <xdr:cNvPr id="48" name="Rectangle: Rounded Corners 22">
          <a:hlinkClick xmlns:r="http://schemas.openxmlformats.org/officeDocument/2006/relationships" r:id="rId6"/>
          <a:extLst>
            <a:ext uri="{FF2B5EF4-FFF2-40B4-BE49-F238E27FC236}">
              <a16:creationId xmlns:a16="http://schemas.microsoft.com/office/drawing/2014/main" id="{00000000-0008-0000-0200-000030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15</xdr:row>
      <xdr:rowOff>76200</xdr:rowOff>
    </xdr:from>
    <xdr:to>
      <xdr:col>15</xdr:col>
      <xdr:colOff>381000</xdr:colOff>
      <xdr:row>16</xdr:row>
      <xdr:rowOff>133350</xdr:rowOff>
    </xdr:to>
    <xdr:sp macro="" textlink="">
      <xdr:nvSpPr>
        <xdr:cNvPr id="49" name="Rectangle: Rounded Corners 26">
          <a:hlinkClick xmlns:r="http://schemas.openxmlformats.org/officeDocument/2006/relationships" r:id="rId7"/>
          <a:extLst>
            <a:ext uri="{FF2B5EF4-FFF2-40B4-BE49-F238E27FC236}">
              <a16:creationId xmlns:a16="http://schemas.microsoft.com/office/drawing/2014/main" id="{00000000-0008-0000-0200-000031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558057</xdr:colOff>
      <xdr:row>4</xdr:row>
      <xdr:rowOff>28575</xdr:rowOff>
    </xdr:from>
    <xdr:to>
      <xdr:col>9</xdr:col>
      <xdr:colOff>0</xdr:colOff>
      <xdr:row>4</xdr:row>
      <xdr:rowOff>38100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2</xdr:row>
      <xdr:rowOff>28576</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30/2014/TT-BCA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23/7/2014</a:t>
          </a:r>
        </a:p>
        <a:p>
          <a:pPr algn="ctr" rtl="0">
            <a:defRPr sz="1000"/>
          </a:pPr>
          <a:endParaRPr lang="en-US" sz="800" b="0" i="0" u="none" strike="noStrike" baseline="0">
            <a:solidFill>
              <a:srgbClr val="000000"/>
            </a:solidFill>
            <a:latin typeface="Times New Roman" panose="02020603050405020304" pitchFamily="18" charset="0"/>
            <a:cs typeface="Times New Roman" panose="02020603050405020304" pitchFamily="18" charset="0"/>
          </a:endParaRP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4</xdr:row>
      <xdr:rowOff>9525</xdr:rowOff>
    </xdr:from>
    <xdr:to>
      <xdr:col>3</xdr:col>
      <xdr:colOff>200025</xdr:colOff>
      <xdr:row>4</xdr:row>
      <xdr:rowOff>9525</xdr:rowOff>
    </xdr:to>
    <xdr:sp macro="" textlink="">
      <xdr:nvSpPr>
        <xdr:cNvPr id="4" name="Line 1">
          <a:extLst>
            <a:ext uri="{FF2B5EF4-FFF2-40B4-BE49-F238E27FC236}">
              <a16:creationId xmlns:a16="http://schemas.microsoft.com/office/drawing/2014/main" id="{00000000-0008-0000-03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3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3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123825</xdr:colOff>
      <xdr:row>2</xdr:row>
      <xdr:rowOff>66675</xdr:rowOff>
    </xdr:from>
    <xdr:to>
      <xdr:col>13</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3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12</xdr:row>
      <xdr:rowOff>66675</xdr:rowOff>
    </xdr:from>
    <xdr:to>
      <xdr:col>13</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3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2</xdr:row>
      <xdr:rowOff>76200</xdr:rowOff>
    </xdr:from>
    <xdr:to>
      <xdr:col>15</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3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6</xdr:row>
      <xdr:rowOff>57150</xdr:rowOff>
    </xdr:from>
    <xdr:to>
      <xdr:col>15</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3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14</xdr:row>
      <xdr:rowOff>0</xdr:rowOff>
    </xdr:from>
    <xdr:to>
      <xdr:col>15</xdr:col>
      <xdr:colOff>381000</xdr:colOff>
      <xdr:row>14</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3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28</xdr:row>
      <xdr:rowOff>104775</xdr:rowOff>
    </xdr:from>
    <xdr:to>
      <xdr:col>9</xdr:col>
      <xdr:colOff>1024731</xdr:colOff>
      <xdr:row>32</xdr:row>
      <xdr:rowOff>171450</xdr:rowOff>
    </xdr:to>
    <xdr:pic>
      <xdr:nvPicPr>
        <xdr:cNvPr id="6" name="Picture 5" descr="z6643237854000_29774847381e07c8f48b94b49acc9acd">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200525" y="7772400"/>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4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4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4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5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3</xdr:row>
      <xdr:rowOff>228600</xdr:rowOff>
    </xdr:from>
    <xdr:to>
      <xdr:col>3</xdr:col>
      <xdr:colOff>276225</xdr:colOff>
      <xdr:row>3</xdr:row>
      <xdr:rowOff>228600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4</xdr:row>
      <xdr:rowOff>9525</xdr:rowOff>
    </xdr:from>
    <xdr:to>
      <xdr:col>8</xdr:col>
      <xdr:colOff>352425</xdr:colOff>
      <xdr:row>4</xdr:row>
      <xdr:rowOff>19050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1</xdr:rowOff>
    </xdr:from>
    <xdr:to>
      <xdr:col>9</xdr:col>
      <xdr:colOff>753599</xdr:colOff>
      <xdr:row>2</xdr:row>
      <xdr:rowOff>0</xdr:rowOff>
    </xdr:to>
    <xdr:sp macro="" textlink="">
      <xdr:nvSpPr>
        <xdr:cNvPr id="21" name="Text Box 1">
          <a:extLst>
            <a:ext uri="{FF2B5EF4-FFF2-40B4-BE49-F238E27FC236}">
              <a16:creationId xmlns:a16="http://schemas.microsoft.com/office/drawing/2014/main" id="{00000000-0008-0000-0500-000015000000}"/>
            </a:ext>
          </a:extLst>
        </xdr:cNvPr>
        <xdr:cNvSpPr txBox="1">
          <a:spLocks noChangeArrowheads="1"/>
        </xdr:cNvSpPr>
      </xdr:nvSpPr>
      <xdr:spPr bwMode="auto">
        <a:xfrm>
          <a:off x="4800600" y="1"/>
          <a:ext cx="1353674" cy="533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2</xdr:row>
      <xdr:rowOff>66675</xdr:rowOff>
    </xdr:from>
    <xdr:to>
      <xdr:col>12</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12</xdr:row>
      <xdr:rowOff>66675</xdr:rowOff>
    </xdr:from>
    <xdr:to>
      <xdr:col>12</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2</xdr:row>
      <xdr:rowOff>76200</xdr:rowOff>
    </xdr:from>
    <xdr:to>
      <xdr:col>14</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6</xdr:row>
      <xdr:rowOff>57150</xdr:rowOff>
    </xdr:from>
    <xdr:to>
      <xdr:col>14</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14</xdr:row>
      <xdr:rowOff>76200</xdr:rowOff>
    </xdr:from>
    <xdr:to>
      <xdr:col>14</xdr:col>
      <xdr:colOff>381000</xdr:colOff>
      <xdr:row>15</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28</xdr:row>
      <xdr:rowOff>180975</xdr:rowOff>
    </xdr:from>
    <xdr:to>
      <xdr:col>4</xdr:col>
      <xdr:colOff>224631</xdr:colOff>
      <xdr:row>33</xdr:row>
      <xdr:rowOff>57150</xdr:rowOff>
    </xdr:to>
    <xdr:pic>
      <xdr:nvPicPr>
        <xdr:cNvPr id="3" name="Picture 2" descr="z6643237854000_29774847381e07c8f48b94b49acc9acd">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95300" y="7058025"/>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28</xdr:row>
      <xdr:rowOff>180975</xdr:rowOff>
    </xdr:from>
    <xdr:to>
      <xdr:col>9</xdr:col>
      <xdr:colOff>54610</xdr:colOff>
      <xdr:row>33</xdr:row>
      <xdr:rowOff>123825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8625" y="7058025"/>
          <a:ext cx="1978660"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0</xdr:colOff>
      <xdr:row>2</xdr:row>
      <xdr:rowOff>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0</xdr:colOff>
      <xdr:row>1</xdr:row>
      <xdr:rowOff>9525</xdr:rowOff>
    </xdr:from>
    <xdr:to>
      <xdr:col>7</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1171575</xdr:colOff>
      <xdr:row>4</xdr:row>
      <xdr:rowOff>56411</xdr:rowOff>
    </xdr:from>
    <xdr:to>
      <xdr:col>5</xdr:col>
      <xdr:colOff>323850</xdr:colOff>
      <xdr:row>4</xdr:row>
      <xdr:rowOff>56411</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4152900" y="970811"/>
          <a:ext cx="19812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0</xdr:colOff>
      <xdr:row>2</xdr:row>
      <xdr:rowOff>0</xdr:rowOff>
    </xdr:to>
    <xdr:sp macro="" textlink="">
      <xdr:nvSpPr>
        <xdr:cNvPr id="20" name="Text Box 1">
          <a:extLst>
            <a:ext uri="{FF2B5EF4-FFF2-40B4-BE49-F238E27FC236}">
              <a16:creationId xmlns:a16="http://schemas.microsoft.com/office/drawing/2014/main" id="{00000000-0008-0000-06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419100</xdr:colOff>
      <xdr:row>4</xdr:row>
      <xdr:rowOff>28575</xdr:rowOff>
    </xdr:from>
    <xdr:to>
      <xdr:col>2</xdr:col>
      <xdr:colOff>1485900</xdr:colOff>
      <xdr:row>4</xdr:row>
      <xdr:rowOff>28575</xdr:rowOff>
    </xdr:to>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962025" y="1085850"/>
          <a:ext cx="1066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43</xdr:row>
      <xdr:rowOff>180975</xdr:rowOff>
    </xdr:from>
    <xdr:to>
      <xdr:col>2</xdr:col>
      <xdr:colOff>1533525</xdr:colOff>
      <xdr:row>46</xdr:row>
      <xdr:rowOff>38100</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43</xdr:row>
      <xdr:rowOff>171450</xdr:rowOff>
    </xdr:from>
    <xdr:to>
      <xdr:col>7</xdr:col>
      <xdr:colOff>0</xdr:colOff>
      <xdr:row>46</xdr:row>
      <xdr:rowOff>123825</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43</xdr:row>
      <xdr:rowOff>161925</xdr:rowOff>
    </xdr:from>
    <xdr:to>
      <xdr:col>3</xdr:col>
      <xdr:colOff>1552575</xdr:colOff>
      <xdr:row>46</xdr:row>
      <xdr:rowOff>19050</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49</xdr:row>
      <xdr:rowOff>171449</xdr:rowOff>
    </xdr:from>
    <xdr:to>
      <xdr:col>3</xdr:col>
      <xdr:colOff>1466850</xdr:colOff>
      <xdr:row>51</xdr:row>
      <xdr:rowOff>0</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49</xdr:row>
      <xdr:rowOff>180975</xdr:rowOff>
    </xdr:from>
    <xdr:to>
      <xdr:col>2</xdr:col>
      <xdr:colOff>1704975</xdr:colOff>
      <xdr:row>51</xdr:row>
      <xdr:rowOff>0</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45</xdr:row>
          <xdr:rowOff>123825</xdr:rowOff>
        </xdr:from>
        <xdr:to>
          <xdr:col>3</xdr:col>
          <xdr:colOff>1209675</xdr:colOff>
          <xdr:row>50</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123825</xdr:colOff>
      <xdr:row>2</xdr:row>
      <xdr:rowOff>66675</xdr:rowOff>
    </xdr:from>
    <xdr:to>
      <xdr:col>9</xdr:col>
      <xdr:colOff>161925</xdr:colOff>
      <xdr:row>3</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6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12</xdr:row>
      <xdr:rowOff>66675</xdr:rowOff>
    </xdr:from>
    <xdr:to>
      <xdr:col>9</xdr:col>
      <xdr:colOff>171450</xdr:colOff>
      <xdr:row>13</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6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2</xdr:row>
      <xdr:rowOff>76200</xdr:rowOff>
    </xdr:from>
    <xdr:to>
      <xdr:col>11</xdr:col>
      <xdr:colOff>361950</xdr:colOff>
      <xdr:row>3</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6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6</xdr:row>
      <xdr:rowOff>57150</xdr:rowOff>
    </xdr:from>
    <xdr:to>
      <xdr:col>11</xdr:col>
      <xdr:colOff>371475</xdr:colOff>
      <xdr:row>7</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6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14</xdr:row>
      <xdr:rowOff>76200</xdr:rowOff>
    </xdr:from>
    <xdr:to>
      <xdr:col>11</xdr:col>
      <xdr:colOff>381000</xdr:colOff>
      <xdr:row>15</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6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171450</xdr:colOff>
      <xdr:row>46</xdr:row>
      <xdr:rowOff>96992</xdr:rowOff>
    </xdr:from>
    <xdr:to>
      <xdr:col>2</xdr:col>
      <xdr:colOff>1786731</xdr:colOff>
      <xdr:row>49</xdr:row>
      <xdr:rowOff>219075</xdr:rowOff>
    </xdr:to>
    <xdr:pic>
      <xdr:nvPicPr>
        <xdr:cNvPr id="3" name="Picture 2" descr="z6643237854000_29774847381e07c8f48b94b49acc9acd">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23850" y="21585392"/>
          <a:ext cx="2005806" cy="8364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253434</xdr:colOff>
      <xdr:row>45</xdr:row>
      <xdr:rowOff>121362</xdr:rowOff>
    </xdr:from>
    <xdr:to>
      <xdr:col>7</xdr:col>
      <xdr:colOff>533400</xdr:colOff>
      <xdr:row>50</xdr:row>
      <xdr:rowOff>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96834" y="21257337"/>
          <a:ext cx="2318316" cy="106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7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7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7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7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7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7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7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7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7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1">
          <a:extLst>
            <a:ext uri="{FF2B5EF4-FFF2-40B4-BE49-F238E27FC236}">
              <a16:creationId xmlns:a16="http://schemas.microsoft.com/office/drawing/2014/main" id="{00000000-0008-0000-0800-000002000000}"/>
            </a:ext>
          </a:extLst>
        </xdr:cNvPr>
        <xdr:cNvSpPr/>
      </xdr:nvSpPr>
      <xdr:spPr>
        <a:xfrm>
          <a:off x="6943725"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133350</xdr:rowOff>
    </xdr:from>
    <xdr:to>
      <xdr:col>16</xdr:col>
      <xdr:colOff>47625</xdr:colOff>
      <xdr:row>4</xdr:row>
      <xdr:rowOff>180975</xdr:rowOff>
    </xdr:to>
    <xdr:sp macro="" textlink="">
      <xdr:nvSpPr>
        <xdr:cNvPr id="3" name="Rectangle: Rounded Corners 2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953250"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95250</xdr:rowOff>
    </xdr:from>
    <xdr:to>
      <xdr:col>16</xdr:col>
      <xdr:colOff>57150</xdr:colOff>
      <xdr:row>6</xdr:row>
      <xdr:rowOff>123825</xdr:rowOff>
    </xdr:to>
    <xdr:sp macro="" textlink="">
      <xdr:nvSpPr>
        <xdr:cNvPr id="4" name="Rectangle: Rounded Corners 2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6962775"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6962775"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238125</xdr:rowOff>
    </xdr:from>
    <xdr:to>
      <xdr:col>16</xdr:col>
      <xdr:colOff>57150</xdr:colOff>
      <xdr:row>8</xdr:row>
      <xdr:rowOff>504825</xdr:rowOff>
    </xdr:to>
    <xdr:sp macro="" textlink="">
      <xdr:nvSpPr>
        <xdr:cNvPr id="6" name="Rectangle: Rounded Corners 25">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6962775" y="191452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657225</xdr:rowOff>
    </xdr:from>
    <xdr:to>
      <xdr:col>16</xdr:col>
      <xdr:colOff>57150</xdr:colOff>
      <xdr:row>9</xdr:row>
      <xdr:rowOff>57150</xdr:rowOff>
    </xdr:to>
    <xdr:sp macro="" textlink="">
      <xdr:nvSpPr>
        <xdr:cNvPr id="7" name="Rectangle: Rounded Corners 26">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6962775" y="23336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209550</xdr:rowOff>
    </xdr:from>
    <xdr:to>
      <xdr:col>16</xdr:col>
      <xdr:colOff>57150</xdr:colOff>
      <xdr:row>11</xdr:row>
      <xdr:rowOff>0</xdr:rowOff>
    </xdr:to>
    <xdr:sp macro="" textlink="">
      <xdr:nvSpPr>
        <xdr:cNvPr id="8" name="Rectangle: Rounded Corners 27">
          <a:hlinkClick xmlns:r="http://schemas.openxmlformats.org/officeDocument/2006/relationships" r:id="rId6"/>
          <a:extLst>
            <a:ext uri="{FF2B5EF4-FFF2-40B4-BE49-F238E27FC236}">
              <a16:creationId xmlns:a16="http://schemas.microsoft.com/office/drawing/2014/main" id="{00000000-0008-0000-0800-000008000000}"/>
            </a:ext>
          </a:extLst>
        </xdr:cNvPr>
        <xdr:cNvSpPr/>
      </xdr:nvSpPr>
      <xdr:spPr>
        <a:xfrm>
          <a:off x="6962775" y="27527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11</xdr:row>
      <xdr:rowOff>152400</xdr:rowOff>
    </xdr:from>
    <xdr:to>
      <xdr:col>16</xdr:col>
      <xdr:colOff>66675</xdr:colOff>
      <xdr:row>12</xdr:row>
      <xdr:rowOff>180975</xdr:rowOff>
    </xdr:to>
    <xdr:sp macro="" textlink="">
      <xdr:nvSpPr>
        <xdr:cNvPr id="9" name="Rectangle: Rounded Corners 2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6972300" y="31718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9">
          <a:hlinkClick xmlns:r="http://schemas.openxmlformats.org/officeDocument/2006/relationships" r:id="rId8"/>
          <a:extLst>
            <a:ext uri="{FF2B5EF4-FFF2-40B4-BE49-F238E27FC236}">
              <a16:creationId xmlns:a16="http://schemas.microsoft.com/office/drawing/2014/main" id="{00000000-0008-0000-0800-00000A000000}"/>
            </a:ext>
          </a:extLst>
        </xdr:cNvPr>
        <xdr:cNvSpPr/>
      </xdr:nvSpPr>
      <xdr:spPr>
        <a:xfrm>
          <a:off x="8362950"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142875</xdr:rowOff>
    </xdr:from>
    <xdr:to>
      <xdr:col>18</xdr:col>
      <xdr:colOff>247650</xdr:colOff>
      <xdr:row>4</xdr:row>
      <xdr:rowOff>190500</xdr:rowOff>
    </xdr:to>
    <xdr:sp macro="" textlink="">
      <xdr:nvSpPr>
        <xdr:cNvPr id="11" name="Rectangle: Rounded Corners 30">
          <a:hlinkClick xmlns:r="http://schemas.openxmlformats.org/officeDocument/2006/relationships" r:id="rId9"/>
          <a:extLst>
            <a:ext uri="{FF2B5EF4-FFF2-40B4-BE49-F238E27FC236}">
              <a16:creationId xmlns:a16="http://schemas.microsoft.com/office/drawing/2014/main" id="{00000000-0008-0000-0800-00000B000000}"/>
            </a:ext>
          </a:extLst>
        </xdr:cNvPr>
        <xdr:cNvSpPr/>
      </xdr:nvSpPr>
      <xdr:spPr>
        <a:xfrm>
          <a:off x="8372475"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104775</xdr:rowOff>
    </xdr:from>
    <xdr:to>
      <xdr:col>18</xdr:col>
      <xdr:colOff>257175</xdr:colOff>
      <xdr:row>6</xdr:row>
      <xdr:rowOff>133350</xdr:rowOff>
    </xdr:to>
    <xdr:sp macro="" textlink="">
      <xdr:nvSpPr>
        <xdr:cNvPr id="12" name="Rectangle: Rounded Corners 31">
          <a:hlinkClick xmlns:r="http://schemas.openxmlformats.org/officeDocument/2006/relationships" r:id="rId10"/>
          <a:extLst>
            <a:ext uri="{FF2B5EF4-FFF2-40B4-BE49-F238E27FC236}">
              <a16:creationId xmlns:a16="http://schemas.microsoft.com/office/drawing/2014/main" id="{00000000-0008-0000-0800-00000C000000}"/>
            </a:ext>
          </a:extLst>
        </xdr:cNvPr>
        <xdr:cNvSpPr/>
      </xdr:nvSpPr>
      <xdr:spPr>
        <a:xfrm>
          <a:off x="8382000"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2">
          <a:hlinkClick xmlns:r="http://schemas.openxmlformats.org/officeDocument/2006/relationships" r:id="rId11"/>
          <a:extLst>
            <a:ext uri="{FF2B5EF4-FFF2-40B4-BE49-F238E27FC236}">
              <a16:creationId xmlns:a16="http://schemas.microsoft.com/office/drawing/2014/main" id="{00000000-0008-0000-0800-00000D000000}"/>
            </a:ext>
          </a:extLst>
        </xdr:cNvPr>
        <xdr:cNvSpPr/>
      </xdr:nvSpPr>
      <xdr:spPr>
        <a:xfrm>
          <a:off x="8382000"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247650</xdr:rowOff>
    </xdr:from>
    <xdr:to>
      <xdr:col>18</xdr:col>
      <xdr:colOff>257175</xdr:colOff>
      <xdr:row>8</xdr:row>
      <xdr:rowOff>514350</xdr:rowOff>
    </xdr:to>
    <xdr:sp macro="" textlink="">
      <xdr:nvSpPr>
        <xdr:cNvPr id="14" name="Rectangle: Rounded Corners 33">
          <a:hlinkClick xmlns:r="http://schemas.openxmlformats.org/officeDocument/2006/relationships" r:id="rId12"/>
          <a:extLst>
            <a:ext uri="{FF2B5EF4-FFF2-40B4-BE49-F238E27FC236}">
              <a16:creationId xmlns:a16="http://schemas.microsoft.com/office/drawing/2014/main" id="{00000000-0008-0000-0800-00000E000000}"/>
            </a:ext>
          </a:extLst>
        </xdr:cNvPr>
        <xdr:cNvSpPr/>
      </xdr:nvSpPr>
      <xdr:spPr>
        <a:xfrm>
          <a:off x="8382000" y="1924050"/>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666750</xdr:rowOff>
    </xdr:from>
    <xdr:to>
      <xdr:col>18</xdr:col>
      <xdr:colOff>257175</xdr:colOff>
      <xdr:row>9</xdr:row>
      <xdr:rowOff>66675</xdr:rowOff>
    </xdr:to>
    <xdr:sp macro="" textlink="">
      <xdr:nvSpPr>
        <xdr:cNvPr id="15" name="Rectangle: Rounded Corners 34">
          <a:hlinkClick xmlns:r="http://schemas.openxmlformats.org/officeDocument/2006/relationships" r:id="rId13"/>
          <a:extLst>
            <a:ext uri="{FF2B5EF4-FFF2-40B4-BE49-F238E27FC236}">
              <a16:creationId xmlns:a16="http://schemas.microsoft.com/office/drawing/2014/main" id="{00000000-0008-0000-0800-00000F000000}"/>
            </a:ext>
          </a:extLst>
        </xdr:cNvPr>
        <xdr:cNvSpPr/>
      </xdr:nvSpPr>
      <xdr:spPr>
        <a:xfrm>
          <a:off x="8382000" y="23431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219075</xdr:rowOff>
    </xdr:from>
    <xdr:to>
      <xdr:col>18</xdr:col>
      <xdr:colOff>257175</xdr:colOff>
      <xdr:row>11</xdr:row>
      <xdr:rowOff>9525</xdr:rowOff>
    </xdr:to>
    <xdr:sp macro="" textlink="">
      <xdr:nvSpPr>
        <xdr:cNvPr id="16" name="Rectangle: Rounded Corners 35">
          <a:hlinkClick xmlns:r="http://schemas.openxmlformats.org/officeDocument/2006/relationships" r:id="rId14"/>
          <a:extLst>
            <a:ext uri="{FF2B5EF4-FFF2-40B4-BE49-F238E27FC236}">
              <a16:creationId xmlns:a16="http://schemas.microsoft.com/office/drawing/2014/main" id="{00000000-0008-0000-0800-000010000000}"/>
            </a:ext>
          </a:extLst>
        </xdr:cNvPr>
        <xdr:cNvSpPr/>
      </xdr:nvSpPr>
      <xdr:spPr>
        <a:xfrm>
          <a:off x="8382000" y="27622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11</xdr:row>
      <xdr:rowOff>161925</xdr:rowOff>
    </xdr:from>
    <xdr:to>
      <xdr:col>18</xdr:col>
      <xdr:colOff>266700</xdr:colOff>
      <xdr:row>12</xdr:row>
      <xdr:rowOff>190500</xdr:rowOff>
    </xdr:to>
    <xdr:sp macro="" textlink="">
      <xdr:nvSpPr>
        <xdr:cNvPr id="17" name="Rectangle: Rounded Corners 36">
          <a:hlinkClick xmlns:r="http://schemas.openxmlformats.org/officeDocument/2006/relationships" r:id="rId15"/>
          <a:extLst>
            <a:ext uri="{FF2B5EF4-FFF2-40B4-BE49-F238E27FC236}">
              <a16:creationId xmlns:a16="http://schemas.microsoft.com/office/drawing/2014/main" id="{00000000-0008-0000-0800-000011000000}"/>
            </a:ext>
          </a:extLst>
        </xdr:cNvPr>
        <xdr:cNvSpPr/>
      </xdr:nvSpPr>
      <xdr:spPr>
        <a:xfrm>
          <a:off x="8391525" y="318135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13</xdr:row>
      <xdr:rowOff>95250</xdr:rowOff>
    </xdr:from>
    <xdr:to>
      <xdr:col>16</xdr:col>
      <xdr:colOff>85725</xdr:colOff>
      <xdr:row>14</xdr:row>
      <xdr:rowOff>123825</xdr:rowOff>
    </xdr:to>
    <xdr:sp macro="" textlink="">
      <xdr:nvSpPr>
        <xdr:cNvPr id="18" name="Rectangle: Rounded Corners 37">
          <a:hlinkClick xmlns:r="http://schemas.openxmlformats.org/officeDocument/2006/relationships" r:id="rId16"/>
          <a:extLst>
            <a:ext uri="{FF2B5EF4-FFF2-40B4-BE49-F238E27FC236}">
              <a16:creationId xmlns:a16="http://schemas.microsoft.com/office/drawing/2014/main" id="{00000000-0008-0000-0800-000012000000}"/>
            </a:ext>
          </a:extLst>
        </xdr:cNvPr>
        <xdr:cNvSpPr/>
      </xdr:nvSpPr>
      <xdr:spPr>
        <a:xfrm>
          <a:off x="6991350" y="35909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238125</xdr:colOff>
      <xdr:row>5</xdr:row>
      <xdr:rowOff>9525</xdr:rowOff>
    </xdr:from>
    <xdr:to>
      <xdr:col>9</xdr:col>
      <xdr:colOff>314325</xdr:colOff>
      <xdr:row>5</xdr:row>
      <xdr:rowOff>19050</xdr:rowOff>
    </xdr:to>
    <xdr:cxnSp macro="">
      <xdr:nvCxnSpPr>
        <xdr:cNvPr id="19" name="Straight Connector 18">
          <a:extLst>
            <a:ext uri="{FF2B5EF4-FFF2-40B4-BE49-F238E27FC236}">
              <a16:creationId xmlns:a16="http://schemas.microsoft.com/office/drawing/2014/main" id="{00000000-0008-0000-0800-000013000000}"/>
            </a:ext>
          </a:extLst>
        </xdr:cNvPr>
        <xdr:cNvCxnSpPr/>
      </xdr:nvCxnSpPr>
      <xdr:spPr>
        <a:xfrm>
          <a:off x="2571750" y="971550"/>
          <a:ext cx="17526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219075</xdr:colOff>
      <xdr:row>0</xdr:row>
      <xdr:rowOff>0</xdr:rowOff>
    </xdr:from>
    <xdr:to>
      <xdr:col>12</xdr:col>
      <xdr:colOff>1096499</xdr:colOff>
      <xdr:row>3</xdr:row>
      <xdr:rowOff>85725</xdr:rowOff>
    </xdr:to>
    <xdr:sp macro="" textlink="">
      <xdr:nvSpPr>
        <xdr:cNvPr id="20" name="Text Box 1">
          <a:extLst>
            <a:ext uri="{FF2B5EF4-FFF2-40B4-BE49-F238E27FC236}">
              <a16:creationId xmlns:a16="http://schemas.microsoft.com/office/drawing/2014/main" id="{00000000-0008-0000-0800-000014000000}"/>
            </a:ext>
          </a:extLst>
        </xdr:cNvPr>
        <xdr:cNvSpPr txBox="1">
          <a:spLocks noChangeArrowheads="1"/>
        </xdr:cNvSpPr>
      </xdr:nvSpPr>
      <xdr:spPr bwMode="auto">
        <a:xfrm>
          <a:off x="4657725" y="0"/>
          <a:ext cx="1629899"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B9</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0</xdr:colOff>
      <xdr:row>36</xdr:row>
      <xdr:rowOff>0</xdr:rowOff>
    </xdr:from>
    <xdr:to>
      <xdr:col>6</xdr:col>
      <xdr:colOff>215106</xdr:colOff>
      <xdr:row>40</xdr:row>
      <xdr:rowOff>161925</xdr:rowOff>
    </xdr:to>
    <xdr:pic>
      <xdr:nvPicPr>
        <xdr:cNvPr id="21" name="Picture 20" descr="z6643237854000_29774847381e07c8f48b94b49acc9acd">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cstate="print">
          <a:biLevel thresh="50000"/>
          <a:extLst>
            <a:ext uri="{28A0092B-C50C-407E-A947-70E740481C1C}">
              <a14:useLocalDpi xmlns:a14="http://schemas.microsoft.com/office/drawing/2010/main" val="0"/>
            </a:ext>
          </a:extLst>
        </a:blip>
        <a:srcRect/>
        <a:stretch>
          <a:fillRect/>
        </a:stretch>
      </xdr:blipFill>
      <xdr:spPr bwMode="auto">
        <a:xfrm>
          <a:off x="533400" y="9963150"/>
          <a:ext cx="2015331"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152400</xdr:colOff>
      <xdr:row>28</xdr:row>
      <xdr:rowOff>438150</xdr:rowOff>
    </xdr:from>
    <xdr:to>
      <xdr:col>7</xdr:col>
      <xdr:colOff>222816</xdr:colOff>
      <xdr:row>33</xdr:row>
      <xdr:rowOff>11989</xdr:rowOff>
    </xdr:to>
    <xdr:pic>
      <xdr:nvPicPr>
        <xdr:cNvPr id="22" name="Pictur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5800" y="8391525"/>
          <a:ext cx="2318316" cy="9930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247650</xdr:colOff>
      <xdr:row>2</xdr:row>
      <xdr:rowOff>28575</xdr:rowOff>
    </xdr:from>
    <xdr:to>
      <xdr:col>9</xdr:col>
      <xdr:colOff>561975</xdr:colOff>
      <xdr:row>2</xdr:row>
      <xdr:rowOff>38100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a:xfrm>
          <a:off x="3552825" y="504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685800</xdr:colOff>
      <xdr:row>2</xdr:row>
      <xdr:rowOff>25891</xdr:rowOff>
    </xdr:from>
    <xdr:to>
      <xdr:col>3</xdr:col>
      <xdr:colOff>514350</xdr:colOff>
      <xdr:row>2</xdr:row>
      <xdr:rowOff>25891</xdr:rowOff>
    </xdr:to>
    <xdr:cxnSp macro="">
      <xdr:nvCxnSpPr>
        <xdr:cNvPr id="42" name="Straight Connector 41">
          <a:extLst>
            <a:ext uri="{FF2B5EF4-FFF2-40B4-BE49-F238E27FC236}">
              <a16:creationId xmlns:a16="http://schemas.microsoft.com/office/drawing/2014/main" id="{00000000-0008-0000-0900-00002A000000}"/>
            </a:ext>
          </a:extLst>
        </xdr:cNvPr>
        <xdr:cNvCxnSpPr/>
      </xdr:nvCxnSpPr>
      <xdr:spPr>
        <a:xfrm>
          <a:off x="685800" y="502141"/>
          <a:ext cx="1085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371475</xdr:colOff>
      <xdr:row>6</xdr:row>
      <xdr:rowOff>9525</xdr:rowOff>
    </xdr:from>
    <xdr:to>
      <xdr:col>7</xdr:col>
      <xdr:colOff>47625</xdr:colOff>
      <xdr:row>6</xdr:row>
      <xdr:rowOff>19050</xdr:rowOff>
    </xdr:to>
    <xdr:cxnSp macro="">
      <xdr:nvCxnSpPr>
        <xdr:cNvPr id="43" name="Straight Connector 42">
          <a:extLst>
            <a:ext uri="{FF2B5EF4-FFF2-40B4-BE49-F238E27FC236}">
              <a16:creationId xmlns:a16="http://schemas.microsoft.com/office/drawing/2014/main" id="{00000000-0008-0000-0900-00002B000000}"/>
            </a:ext>
          </a:extLst>
        </xdr:cNvPr>
        <xdr:cNvCxnSpPr/>
      </xdr:nvCxnSpPr>
      <xdr:spPr>
        <a:xfrm>
          <a:off x="2238375" y="1647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123825</xdr:colOff>
      <xdr:row>3</xdr:row>
      <xdr:rowOff>66675</xdr:rowOff>
    </xdr:from>
    <xdr:to>
      <xdr:col>14</xdr:col>
      <xdr:colOff>161925</xdr:colOff>
      <xdr:row>4</xdr:row>
      <xdr:rowOff>123825</xdr:rowOff>
    </xdr:to>
    <xdr:sp macro="" textlink="">
      <xdr:nvSpPr>
        <xdr:cNvPr id="36" name="Rectangle: Rounded Corners 2">
          <a:hlinkClick xmlns:r="http://schemas.openxmlformats.org/officeDocument/2006/relationships" r:id="rId1"/>
          <a:extLst>
            <a:ext uri="{FF2B5EF4-FFF2-40B4-BE49-F238E27FC236}">
              <a16:creationId xmlns:a16="http://schemas.microsoft.com/office/drawing/2014/main" id="{00000000-0008-0000-0900-000024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133350</xdr:colOff>
      <xdr:row>13</xdr:row>
      <xdr:rowOff>66675</xdr:rowOff>
    </xdr:from>
    <xdr:to>
      <xdr:col>14</xdr:col>
      <xdr:colOff>171450</xdr:colOff>
      <xdr:row>14</xdr:row>
      <xdr:rowOff>123825</xdr:rowOff>
    </xdr:to>
    <xdr:sp macro="" textlink="">
      <xdr:nvSpPr>
        <xdr:cNvPr id="37" name="Rectangle: Rounded Corners 7">
          <a:hlinkClick xmlns:r="http://schemas.openxmlformats.org/officeDocument/2006/relationships" r:id="rId2"/>
          <a:extLst>
            <a:ext uri="{FF2B5EF4-FFF2-40B4-BE49-F238E27FC236}">
              <a16:creationId xmlns:a16="http://schemas.microsoft.com/office/drawing/2014/main" id="{00000000-0008-0000-0900-000025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76200</xdr:rowOff>
    </xdr:from>
    <xdr:to>
      <xdr:col>16</xdr:col>
      <xdr:colOff>361950</xdr:colOff>
      <xdr:row>4</xdr:row>
      <xdr:rowOff>133350</xdr:rowOff>
    </xdr:to>
    <xdr:sp macro="" textlink="">
      <xdr:nvSpPr>
        <xdr:cNvPr id="38" name="Rectangle: Rounded Corners 20">
          <a:hlinkClick xmlns:r="http://schemas.openxmlformats.org/officeDocument/2006/relationships" r:id="rId3"/>
          <a:extLst>
            <a:ext uri="{FF2B5EF4-FFF2-40B4-BE49-F238E27FC236}">
              <a16:creationId xmlns:a16="http://schemas.microsoft.com/office/drawing/2014/main" id="{00000000-0008-0000-0900-000026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333375</xdr:colOff>
      <xdr:row>7</xdr:row>
      <xdr:rowOff>57150</xdr:rowOff>
    </xdr:from>
    <xdr:to>
      <xdr:col>16</xdr:col>
      <xdr:colOff>371475</xdr:colOff>
      <xdr:row>8</xdr:row>
      <xdr:rowOff>114300</xdr:rowOff>
    </xdr:to>
    <xdr:sp macro="" textlink="">
      <xdr:nvSpPr>
        <xdr:cNvPr id="39" name="Rectangle: Rounded Corners 22">
          <a:hlinkClick xmlns:r="http://schemas.openxmlformats.org/officeDocument/2006/relationships" r:id="rId4"/>
          <a:extLst>
            <a:ext uri="{FF2B5EF4-FFF2-40B4-BE49-F238E27FC236}">
              <a16:creationId xmlns:a16="http://schemas.microsoft.com/office/drawing/2014/main" id="{00000000-0008-0000-0900-000027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342900</xdr:colOff>
      <xdr:row>15</xdr:row>
      <xdr:rowOff>76200</xdr:rowOff>
    </xdr:from>
    <xdr:to>
      <xdr:col>16</xdr:col>
      <xdr:colOff>381000</xdr:colOff>
      <xdr:row>16</xdr:row>
      <xdr:rowOff>133350</xdr:rowOff>
    </xdr:to>
    <xdr:sp macro="" textlink="">
      <xdr:nvSpPr>
        <xdr:cNvPr id="40" name="Rectangle: Rounded Corners 26">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561975</xdr:colOff>
      <xdr:row>27</xdr:row>
      <xdr:rowOff>114300</xdr:rowOff>
    </xdr:from>
    <xdr:to>
      <xdr:col>11</xdr:col>
      <xdr:colOff>61790</xdr:colOff>
      <xdr:row>33</xdr:row>
      <xdr:rowOff>88601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33875" y="7677150"/>
          <a:ext cx="2624015" cy="1355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57" t="s">
        <v>93</v>
      </c>
      <c r="B1" s="157"/>
      <c r="C1" s="157"/>
      <c r="D1" s="157"/>
      <c r="E1" s="157"/>
      <c r="F1" s="157"/>
      <c r="G1" s="157"/>
    </row>
    <row r="3" spans="1:7" s="3" customFormat="1" ht="64.5" x14ac:dyDescent="0.25">
      <c r="A3" s="74" t="s">
        <v>76</v>
      </c>
      <c r="B3" s="74" t="s">
        <v>82</v>
      </c>
      <c r="C3" s="75" t="s">
        <v>92</v>
      </c>
      <c r="D3" s="75" t="s">
        <v>97</v>
      </c>
      <c r="E3" s="75" t="s">
        <v>95</v>
      </c>
      <c r="F3" s="75" t="s">
        <v>96</v>
      </c>
      <c r="G3" s="75" t="s">
        <v>94</v>
      </c>
    </row>
    <row r="4" spans="1:7" ht="24.95" customHeight="1" x14ac:dyDescent="0.3">
      <c r="A4" s="69">
        <v>1</v>
      </c>
      <c r="B4" s="68"/>
      <c r="C4" s="68"/>
      <c r="D4" s="68"/>
      <c r="E4" s="68"/>
      <c r="F4" s="68"/>
      <c r="G4" s="68"/>
    </row>
    <row r="5" spans="1:7" ht="24.95" customHeight="1" x14ac:dyDescent="0.3">
      <c r="A5" s="70">
        <v>2</v>
      </c>
      <c r="B5" s="66"/>
      <c r="C5" s="66"/>
      <c r="D5" s="66"/>
      <c r="E5" s="66"/>
      <c r="F5" s="66"/>
      <c r="G5" s="66"/>
    </row>
    <row r="6" spans="1:7" ht="24.95" customHeight="1" x14ac:dyDescent="0.3">
      <c r="A6" s="69">
        <v>3</v>
      </c>
      <c r="B6" s="66"/>
      <c r="C6" s="66"/>
      <c r="D6" s="66"/>
      <c r="E6" s="66"/>
      <c r="F6" s="66"/>
      <c r="G6" s="66"/>
    </row>
    <row r="7" spans="1:7" ht="24.95" customHeight="1" x14ac:dyDescent="0.3">
      <c r="A7" s="70">
        <v>4</v>
      </c>
      <c r="B7" s="66"/>
      <c r="C7" s="66"/>
      <c r="D7" s="66"/>
      <c r="E7" s="66"/>
      <c r="F7" s="66"/>
      <c r="G7" s="66"/>
    </row>
    <row r="8" spans="1:7" ht="24.95" customHeight="1" x14ac:dyDescent="0.3">
      <c r="A8" s="69">
        <v>5</v>
      </c>
      <c r="B8" s="66"/>
      <c r="C8" s="66"/>
      <c r="D8" s="66"/>
      <c r="E8" s="66"/>
      <c r="F8" s="66"/>
      <c r="G8" s="66"/>
    </row>
    <row r="9" spans="1:7" ht="24.95" customHeight="1" x14ac:dyDescent="0.3">
      <c r="A9" s="70">
        <v>6</v>
      </c>
      <c r="B9" s="66"/>
      <c r="C9" s="66"/>
      <c r="D9" s="66"/>
      <c r="E9" s="66"/>
      <c r="F9" s="66"/>
      <c r="G9" s="66"/>
    </row>
    <row r="10" spans="1:7" ht="24.95" customHeight="1" x14ac:dyDescent="0.3">
      <c r="A10" s="69">
        <v>7</v>
      </c>
      <c r="B10" s="66"/>
      <c r="C10" s="66"/>
      <c r="D10" s="66"/>
      <c r="E10" s="66"/>
      <c r="F10" s="66"/>
      <c r="G10" s="66"/>
    </row>
    <row r="11" spans="1:7" ht="24.95" customHeight="1" x14ac:dyDescent="0.3">
      <c r="A11" s="70">
        <v>8</v>
      </c>
      <c r="B11" s="66"/>
      <c r="C11" s="66"/>
      <c r="D11" s="66"/>
      <c r="E11" s="66"/>
      <c r="F11" s="66"/>
      <c r="G11" s="66"/>
    </row>
    <row r="12" spans="1:7" ht="24.95" customHeight="1" x14ac:dyDescent="0.3">
      <c r="A12" s="69">
        <v>9</v>
      </c>
      <c r="B12" s="66"/>
      <c r="C12" s="66"/>
      <c r="D12" s="66"/>
      <c r="E12" s="66"/>
      <c r="F12" s="66"/>
      <c r="G12" s="66"/>
    </row>
    <row r="13" spans="1:7" ht="24.95" customHeight="1" x14ac:dyDescent="0.3">
      <c r="A13" s="70">
        <v>10</v>
      </c>
      <c r="B13" s="66"/>
      <c r="C13" s="66"/>
      <c r="D13" s="66"/>
      <c r="E13" s="66"/>
      <c r="F13" s="66"/>
      <c r="G13" s="66"/>
    </row>
    <row r="14" spans="1:7" ht="24.95" customHeight="1" x14ac:dyDescent="0.3">
      <c r="A14" s="69">
        <v>11</v>
      </c>
      <c r="B14" s="66"/>
      <c r="C14" s="66"/>
      <c r="D14" s="66"/>
      <c r="E14" s="66"/>
      <c r="F14" s="66"/>
      <c r="G14" s="66"/>
    </row>
    <row r="15" spans="1:7" ht="24.95" customHeight="1" x14ac:dyDescent="0.3">
      <c r="A15" s="70">
        <v>12</v>
      </c>
      <c r="B15" s="66"/>
      <c r="C15" s="66"/>
      <c r="D15" s="66"/>
      <c r="E15" s="66"/>
      <c r="F15" s="66"/>
      <c r="G15" s="66"/>
    </row>
    <row r="16" spans="1:7" ht="24.95" customHeight="1" x14ac:dyDescent="0.3">
      <c r="A16" s="69">
        <v>13</v>
      </c>
      <c r="B16" s="66"/>
      <c r="C16" s="66"/>
      <c r="D16" s="66"/>
      <c r="E16" s="66"/>
      <c r="F16" s="66"/>
      <c r="G16" s="66"/>
    </row>
    <row r="17" spans="1:7" ht="24.95" customHeight="1" x14ac:dyDescent="0.3">
      <c r="A17" s="70">
        <v>14</v>
      </c>
      <c r="B17" s="66"/>
      <c r="C17" s="66"/>
      <c r="D17" s="66"/>
      <c r="E17" s="66"/>
      <c r="F17" s="66"/>
      <c r="G17" s="66"/>
    </row>
    <row r="18" spans="1:7" ht="24.95" customHeight="1" x14ac:dyDescent="0.3">
      <c r="A18" s="69">
        <v>15</v>
      </c>
      <c r="B18" s="66"/>
      <c r="C18" s="66"/>
      <c r="D18" s="66"/>
      <c r="E18" s="66"/>
      <c r="F18" s="66"/>
      <c r="G18" s="66"/>
    </row>
    <row r="19" spans="1:7" ht="24.95" customHeight="1" x14ac:dyDescent="0.3">
      <c r="A19" s="70">
        <v>16</v>
      </c>
      <c r="B19" s="66"/>
      <c r="C19" s="66"/>
      <c r="D19" s="66"/>
      <c r="E19" s="66"/>
      <c r="F19" s="66"/>
      <c r="G19" s="66"/>
    </row>
    <row r="20" spans="1:7" ht="24.95" customHeight="1" x14ac:dyDescent="0.3">
      <c r="A20" s="69">
        <v>17</v>
      </c>
      <c r="B20" s="66"/>
      <c r="C20" s="66"/>
      <c r="D20" s="66"/>
      <c r="E20" s="66"/>
      <c r="F20" s="66"/>
      <c r="G20" s="66"/>
    </row>
    <row r="21" spans="1:7" ht="24.95" customHeight="1" x14ac:dyDescent="0.3">
      <c r="A21" s="70">
        <v>18</v>
      </c>
      <c r="B21" s="66"/>
      <c r="C21" s="66"/>
      <c r="D21" s="66"/>
      <c r="E21" s="66"/>
      <c r="F21" s="66"/>
      <c r="G21" s="66"/>
    </row>
    <row r="22" spans="1:7" ht="24.95" customHeight="1" x14ac:dyDescent="0.3">
      <c r="A22" s="69">
        <v>19</v>
      </c>
      <c r="B22" s="66"/>
      <c r="C22" s="66"/>
      <c r="D22" s="66"/>
      <c r="E22" s="66"/>
      <c r="F22" s="66"/>
      <c r="G22" s="66"/>
    </row>
    <row r="23" spans="1:7" ht="24.95" customHeight="1" x14ac:dyDescent="0.3">
      <c r="A23" s="70">
        <v>20</v>
      </c>
      <c r="B23" s="66"/>
      <c r="C23" s="66"/>
      <c r="D23" s="66"/>
      <c r="E23" s="66"/>
      <c r="F23" s="66"/>
      <c r="G23" s="66"/>
    </row>
    <row r="24" spans="1:7" ht="24.95" customHeight="1" x14ac:dyDescent="0.3">
      <c r="A24" s="69">
        <v>21</v>
      </c>
      <c r="B24" s="66"/>
      <c r="C24" s="66"/>
      <c r="D24" s="66"/>
      <c r="E24" s="66"/>
      <c r="F24" s="66"/>
      <c r="G24" s="66"/>
    </row>
    <row r="25" spans="1:7" ht="24.95" customHeight="1" x14ac:dyDescent="0.3">
      <c r="A25" s="70">
        <v>22</v>
      </c>
      <c r="B25" s="66"/>
      <c r="C25" s="66"/>
      <c r="D25" s="66"/>
      <c r="E25" s="66"/>
      <c r="F25" s="66"/>
      <c r="G25" s="66"/>
    </row>
    <row r="26" spans="1:7" ht="24.95" customHeight="1" x14ac:dyDescent="0.3">
      <c r="A26" s="69">
        <v>23</v>
      </c>
      <c r="B26" s="66"/>
      <c r="C26" s="66"/>
      <c r="D26" s="66"/>
      <c r="E26" s="66"/>
      <c r="F26" s="66"/>
      <c r="G26" s="66"/>
    </row>
    <row r="27" spans="1:7" ht="24.95" customHeight="1" x14ac:dyDescent="0.3">
      <c r="A27" s="70">
        <v>24</v>
      </c>
      <c r="B27" s="66"/>
      <c r="C27" s="66"/>
      <c r="D27" s="66"/>
      <c r="E27" s="66"/>
      <c r="F27" s="66"/>
      <c r="G27" s="66"/>
    </row>
    <row r="28" spans="1:7" ht="24.95" customHeight="1" x14ac:dyDescent="0.3">
      <c r="A28" s="69">
        <v>25</v>
      </c>
      <c r="B28" s="66"/>
      <c r="C28" s="66"/>
      <c r="D28" s="66"/>
      <c r="E28" s="66"/>
      <c r="F28" s="66"/>
      <c r="G28" s="66"/>
    </row>
    <row r="29" spans="1:7" ht="24.95" customHeight="1" x14ac:dyDescent="0.3">
      <c r="A29" s="70">
        <v>26</v>
      </c>
      <c r="B29" s="66"/>
      <c r="C29" s="66"/>
      <c r="D29" s="66"/>
      <c r="E29" s="66"/>
      <c r="F29" s="66"/>
      <c r="G29" s="66"/>
    </row>
    <row r="30" spans="1:7" ht="24.95" customHeight="1" x14ac:dyDescent="0.3">
      <c r="A30" s="69">
        <v>27</v>
      </c>
      <c r="B30" s="66"/>
      <c r="C30" s="66"/>
      <c r="D30" s="66"/>
      <c r="E30" s="66"/>
      <c r="F30" s="66"/>
      <c r="G30" s="66"/>
    </row>
    <row r="31" spans="1:7" ht="24.95" customHeight="1" x14ac:dyDescent="0.3">
      <c r="A31" s="70">
        <v>28</v>
      </c>
      <c r="B31" s="66"/>
      <c r="C31" s="66"/>
      <c r="D31" s="66"/>
      <c r="E31" s="66"/>
      <c r="F31" s="66"/>
      <c r="G31" s="66"/>
    </row>
    <row r="32" spans="1:7" ht="24.95" customHeight="1" x14ac:dyDescent="0.3">
      <c r="A32" s="69">
        <v>29</v>
      </c>
      <c r="B32" s="66"/>
      <c r="C32" s="66"/>
      <c r="D32" s="66"/>
      <c r="E32" s="66"/>
      <c r="F32" s="66"/>
      <c r="G32" s="66"/>
    </row>
    <row r="33" spans="1:7" ht="24.95" customHeight="1" x14ac:dyDescent="0.3">
      <c r="A33" s="70">
        <v>30</v>
      </c>
      <c r="B33" s="66"/>
      <c r="C33" s="66"/>
      <c r="D33" s="66"/>
      <c r="E33" s="66"/>
      <c r="F33" s="66"/>
      <c r="G33" s="66"/>
    </row>
    <row r="34" spans="1:7" ht="24.95" customHeight="1" x14ac:dyDescent="0.3">
      <c r="A34" s="69">
        <v>31</v>
      </c>
      <c r="B34" s="66"/>
      <c r="C34" s="66"/>
      <c r="D34" s="66"/>
      <c r="E34" s="66"/>
      <c r="F34" s="66"/>
      <c r="G34" s="66"/>
    </row>
    <row r="35" spans="1:7" ht="24.95" customHeight="1" x14ac:dyDescent="0.3">
      <c r="A35" s="70">
        <v>32</v>
      </c>
      <c r="B35" s="66"/>
      <c r="C35" s="66"/>
      <c r="D35" s="66"/>
      <c r="E35" s="66"/>
      <c r="F35" s="66"/>
      <c r="G35" s="66"/>
    </row>
    <row r="36" spans="1:7" ht="24.95" customHeight="1" x14ac:dyDescent="0.3">
      <c r="A36" s="69">
        <v>33</v>
      </c>
      <c r="B36" s="66"/>
      <c r="C36" s="66"/>
      <c r="D36" s="66"/>
      <c r="E36" s="66"/>
      <c r="F36" s="66"/>
      <c r="G36" s="66"/>
    </row>
    <row r="37" spans="1:7" ht="24.95" customHeight="1" x14ac:dyDescent="0.3">
      <c r="A37" s="70">
        <v>34</v>
      </c>
      <c r="B37" s="66"/>
      <c r="C37" s="66"/>
      <c r="D37" s="66"/>
      <c r="E37" s="66"/>
      <c r="F37" s="66"/>
      <c r="G37" s="66"/>
    </row>
    <row r="38" spans="1:7" ht="24.95" customHeight="1" x14ac:dyDescent="0.3">
      <c r="A38" s="69">
        <v>35</v>
      </c>
      <c r="B38" s="66"/>
      <c r="C38" s="66"/>
      <c r="D38" s="66"/>
      <c r="E38" s="66"/>
      <c r="F38" s="66"/>
      <c r="G38" s="66"/>
    </row>
    <row r="39" spans="1:7" ht="24.95" customHeight="1" x14ac:dyDescent="0.3">
      <c r="A39" s="70">
        <v>36</v>
      </c>
      <c r="B39" s="66"/>
      <c r="C39" s="66"/>
      <c r="D39" s="66"/>
      <c r="E39" s="66"/>
      <c r="F39" s="66"/>
      <c r="G39" s="66"/>
    </row>
    <row r="40" spans="1:7" ht="24.95" customHeight="1" x14ac:dyDescent="0.3">
      <c r="A40" s="69">
        <v>37</v>
      </c>
      <c r="B40" s="66"/>
      <c r="C40" s="66"/>
      <c r="D40" s="66"/>
      <c r="E40" s="66"/>
      <c r="F40" s="66"/>
      <c r="G40" s="66"/>
    </row>
    <row r="41" spans="1:7" ht="24.95" customHeight="1" x14ac:dyDescent="0.3">
      <c r="A41" s="70">
        <v>38</v>
      </c>
      <c r="B41" s="66"/>
      <c r="C41" s="66"/>
      <c r="D41" s="66"/>
      <c r="E41" s="66"/>
      <c r="F41" s="66"/>
      <c r="G41" s="66"/>
    </row>
    <row r="42" spans="1:7" ht="24.95" customHeight="1" x14ac:dyDescent="0.3">
      <c r="A42" s="69">
        <v>39</v>
      </c>
      <c r="B42" s="66"/>
      <c r="C42" s="66"/>
      <c r="D42" s="66"/>
      <c r="E42" s="66"/>
      <c r="F42" s="66"/>
      <c r="G42" s="66"/>
    </row>
    <row r="43" spans="1:7" ht="24.95" customHeight="1" x14ac:dyDescent="0.3">
      <c r="A43" s="70">
        <v>40</v>
      </c>
      <c r="B43" s="66"/>
      <c r="C43" s="66"/>
      <c r="D43" s="66"/>
      <c r="E43" s="66"/>
      <c r="F43" s="66"/>
      <c r="G43" s="66"/>
    </row>
    <row r="44" spans="1:7" ht="24.95" customHeight="1" x14ac:dyDescent="0.3">
      <c r="A44" s="69">
        <v>41</v>
      </c>
      <c r="B44" s="66"/>
      <c r="C44" s="66"/>
      <c r="D44" s="66"/>
      <c r="E44" s="66"/>
      <c r="F44" s="66"/>
      <c r="G44" s="66"/>
    </row>
    <row r="45" spans="1:7" ht="24.95" customHeight="1" x14ac:dyDescent="0.3">
      <c r="A45" s="70">
        <v>42</v>
      </c>
      <c r="B45" s="66"/>
      <c r="C45" s="66"/>
      <c r="D45" s="66"/>
      <c r="E45" s="66"/>
      <c r="F45" s="66"/>
      <c r="G45" s="66"/>
    </row>
    <row r="46" spans="1:7" ht="24.95" customHeight="1" x14ac:dyDescent="0.3">
      <c r="A46" s="69">
        <v>43</v>
      </c>
      <c r="B46" s="66"/>
      <c r="C46" s="66"/>
      <c r="D46" s="66"/>
      <c r="E46" s="66"/>
      <c r="F46" s="66"/>
      <c r="G46" s="66"/>
    </row>
    <row r="47" spans="1:7" ht="24.95" customHeight="1" x14ac:dyDescent="0.3">
      <c r="A47" s="70">
        <v>44</v>
      </c>
      <c r="B47" s="66"/>
      <c r="C47" s="66"/>
      <c r="D47" s="66"/>
      <c r="E47" s="66"/>
      <c r="F47" s="66"/>
      <c r="G47" s="66"/>
    </row>
    <row r="48" spans="1:7" ht="24.95" customHeight="1" x14ac:dyDescent="0.3">
      <c r="A48" s="69">
        <v>45</v>
      </c>
      <c r="B48" s="66"/>
      <c r="C48" s="66"/>
      <c r="D48" s="66"/>
      <c r="E48" s="66"/>
      <c r="F48" s="66"/>
      <c r="G48" s="66"/>
    </row>
    <row r="49" spans="1:7" ht="24.95" customHeight="1" x14ac:dyDescent="0.3">
      <c r="A49" s="70">
        <v>46</v>
      </c>
      <c r="B49" s="66"/>
      <c r="C49" s="66"/>
      <c r="D49" s="66"/>
      <c r="E49" s="66"/>
      <c r="F49" s="66"/>
      <c r="G49" s="66"/>
    </row>
    <row r="50" spans="1:7" ht="24.95" customHeight="1" x14ac:dyDescent="0.3">
      <c r="A50" s="69">
        <v>47</v>
      </c>
      <c r="B50" s="66"/>
      <c r="C50" s="66"/>
      <c r="D50" s="66"/>
      <c r="E50" s="66"/>
      <c r="F50" s="66"/>
      <c r="G50" s="66"/>
    </row>
    <row r="51" spans="1:7" ht="24.95" customHeight="1" x14ac:dyDescent="0.3">
      <c r="A51" s="70">
        <v>48</v>
      </c>
      <c r="B51" s="66"/>
      <c r="C51" s="66"/>
      <c r="D51" s="66"/>
      <c r="E51" s="66"/>
      <c r="F51" s="66"/>
      <c r="G51" s="66"/>
    </row>
    <row r="52" spans="1:7" ht="24.95" customHeight="1" x14ac:dyDescent="0.3">
      <c r="A52" s="69">
        <v>49</v>
      </c>
      <c r="B52" s="66"/>
      <c r="C52" s="66"/>
      <c r="D52" s="66"/>
      <c r="E52" s="66"/>
      <c r="F52" s="66"/>
      <c r="G52" s="66"/>
    </row>
    <row r="53" spans="1:7" ht="24.95" customHeight="1" x14ac:dyDescent="0.3">
      <c r="A53" s="70">
        <v>50</v>
      </c>
      <c r="B53" s="66"/>
      <c r="C53" s="66"/>
      <c r="D53" s="66"/>
      <c r="E53" s="66"/>
      <c r="F53" s="66"/>
      <c r="G53" s="66"/>
    </row>
    <row r="54" spans="1:7" ht="24.95" customHeight="1" x14ac:dyDescent="0.3">
      <c r="A54" s="69">
        <v>51</v>
      </c>
      <c r="B54" s="66"/>
      <c r="C54" s="66"/>
      <c r="D54" s="66"/>
      <c r="E54" s="66"/>
      <c r="F54" s="66"/>
      <c r="G54" s="66"/>
    </row>
    <row r="55" spans="1:7" ht="24.95" customHeight="1" x14ac:dyDescent="0.3">
      <c r="A55" s="70">
        <v>52</v>
      </c>
      <c r="B55" s="66"/>
      <c r="C55" s="66"/>
      <c r="D55" s="66"/>
      <c r="E55" s="66"/>
      <c r="F55" s="66"/>
      <c r="G55" s="66"/>
    </row>
    <row r="56" spans="1:7" ht="24" customHeight="1" x14ac:dyDescent="0.3">
      <c r="A56" s="69">
        <v>53</v>
      </c>
      <c r="B56" s="66"/>
      <c r="C56" s="66"/>
      <c r="D56" s="66"/>
      <c r="E56" s="66"/>
      <c r="F56" s="66"/>
      <c r="G56" s="66"/>
    </row>
    <row r="57" spans="1:7" ht="24" customHeight="1" x14ac:dyDescent="0.3">
      <c r="A57" s="70">
        <v>54</v>
      </c>
      <c r="B57" s="66"/>
      <c r="C57" s="66"/>
      <c r="D57" s="66"/>
      <c r="E57" s="66"/>
      <c r="F57" s="66"/>
      <c r="G57" s="66"/>
    </row>
    <row r="58" spans="1:7" ht="24" customHeight="1" x14ac:dyDescent="0.3">
      <c r="A58" s="69">
        <v>55</v>
      </c>
      <c r="B58" s="66"/>
      <c r="C58" s="66"/>
      <c r="D58" s="66"/>
      <c r="E58" s="66"/>
      <c r="F58" s="66"/>
      <c r="G58" s="66"/>
    </row>
    <row r="59" spans="1:7" ht="24" customHeight="1" x14ac:dyDescent="0.3">
      <c r="A59" s="70">
        <v>56</v>
      </c>
      <c r="B59" s="66"/>
      <c r="C59" s="66"/>
      <c r="D59" s="66"/>
      <c r="E59" s="66"/>
      <c r="F59" s="66"/>
      <c r="G59" s="66"/>
    </row>
    <row r="60" spans="1:7" ht="24" customHeight="1" x14ac:dyDescent="0.3">
      <c r="A60" s="69">
        <v>57</v>
      </c>
      <c r="B60" s="66"/>
      <c r="C60" s="66"/>
      <c r="D60" s="66"/>
      <c r="E60" s="66"/>
      <c r="F60" s="66"/>
      <c r="G60" s="66"/>
    </row>
    <row r="61" spans="1:7" ht="24" customHeight="1" x14ac:dyDescent="0.3">
      <c r="A61" s="70">
        <v>58</v>
      </c>
      <c r="B61" s="66"/>
      <c r="C61" s="66"/>
      <c r="D61" s="66"/>
      <c r="E61" s="66"/>
      <c r="F61" s="66"/>
      <c r="G61" s="66"/>
    </row>
    <row r="62" spans="1:7" ht="24" customHeight="1" x14ac:dyDescent="0.3">
      <c r="A62" s="69">
        <v>59</v>
      </c>
      <c r="B62" s="66"/>
      <c r="C62" s="66"/>
      <c r="D62" s="66"/>
      <c r="E62" s="66"/>
      <c r="F62" s="66"/>
      <c r="G62" s="66"/>
    </row>
    <row r="63" spans="1:7" ht="24" customHeight="1" x14ac:dyDescent="0.3">
      <c r="A63" s="70">
        <v>60</v>
      </c>
      <c r="B63" s="66"/>
      <c r="C63" s="66"/>
      <c r="D63" s="66"/>
      <c r="E63" s="66"/>
      <c r="F63" s="66"/>
      <c r="G63" s="66"/>
    </row>
    <row r="64" spans="1:7" ht="24" customHeight="1" x14ac:dyDescent="0.3">
      <c r="A64" s="69">
        <v>61</v>
      </c>
      <c r="B64" s="66"/>
      <c r="C64" s="66"/>
      <c r="D64" s="66"/>
      <c r="E64" s="66"/>
      <c r="F64" s="66"/>
      <c r="G64" s="66"/>
    </row>
    <row r="65" spans="1:7" ht="24" customHeight="1" x14ac:dyDescent="0.3">
      <c r="A65" s="70">
        <v>62</v>
      </c>
      <c r="B65" s="66"/>
      <c r="C65" s="66"/>
      <c r="D65" s="66"/>
      <c r="E65" s="66"/>
      <c r="F65" s="66"/>
      <c r="G65" s="66"/>
    </row>
    <row r="66" spans="1:7" ht="24" customHeight="1" x14ac:dyDescent="0.3">
      <c r="A66" s="69">
        <v>63</v>
      </c>
      <c r="B66" s="66"/>
      <c r="C66" s="66"/>
      <c r="D66" s="66"/>
      <c r="E66" s="66"/>
      <c r="F66" s="66"/>
      <c r="G66" s="66"/>
    </row>
    <row r="67" spans="1:7" ht="24" customHeight="1" x14ac:dyDescent="0.3">
      <c r="A67" s="70">
        <v>64</v>
      </c>
      <c r="B67" s="66"/>
      <c r="C67" s="66"/>
      <c r="D67" s="66"/>
      <c r="E67" s="66"/>
      <c r="F67" s="66"/>
      <c r="G67" s="66"/>
    </row>
    <row r="68" spans="1:7" ht="24" customHeight="1" x14ac:dyDescent="0.3">
      <c r="A68" s="69">
        <v>65</v>
      </c>
      <c r="B68" s="66"/>
      <c r="C68" s="66"/>
      <c r="D68" s="66"/>
      <c r="E68" s="66"/>
      <c r="F68" s="66"/>
      <c r="G68" s="66"/>
    </row>
    <row r="69" spans="1:7" ht="24" customHeight="1" x14ac:dyDescent="0.3">
      <c r="A69" s="70">
        <v>66</v>
      </c>
      <c r="B69" s="66"/>
      <c r="C69" s="66"/>
      <c r="D69" s="66"/>
      <c r="E69" s="66"/>
      <c r="F69" s="66"/>
      <c r="G69" s="66"/>
    </row>
    <row r="70" spans="1:7" ht="24" customHeight="1" x14ac:dyDescent="0.3">
      <c r="A70" s="69">
        <v>67</v>
      </c>
      <c r="B70" s="66"/>
      <c r="C70" s="66"/>
      <c r="D70" s="66"/>
      <c r="E70" s="66"/>
      <c r="F70" s="66"/>
      <c r="G70" s="66"/>
    </row>
    <row r="71" spans="1:7" ht="24" customHeight="1" x14ac:dyDescent="0.3">
      <c r="A71" s="70">
        <v>68</v>
      </c>
      <c r="B71" s="66"/>
      <c r="C71" s="66"/>
      <c r="D71" s="66"/>
      <c r="E71" s="66"/>
      <c r="F71" s="66"/>
      <c r="G71" s="66"/>
    </row>
    <row r="72" spans="1:7" ht="24" customHeight="1" x14ac:dyDescent="0.3">
      <c r="A72" s="69">
        <v>69</v>
      </c>
      <c r="B72" s="66"/>
      <c r="C72" s="66"/>
      <c r="D72" s="66"/>
      <c r="E72" s="66"/>
      <c r="F72" s="66"/>
      <c r="G72" s="66"/>
    </row>
    <row r="73" spans="1:7" ht="24" customHeight="1" x14ac:dyDescent="0.3">
      <c r="A73" s="70">
        <v>70</v>
      </c>
      <c r="B73" s="66"/>
      <c r="C73" s="66"/>
      <c r="D73" s="66"/>
      <c r="E73" s="66"/>
      <c r="F73" s="66"/>
      <c r="G73" s="66"/>
    </row>
    <row r="74" spans="1:7" ht="24" customHeight="1" x14ac:dyDescent="0.3">
      <c r="A74" s="69">
        <v>71</v>
      </c>
      <c r="B74" s="66"/>
      <c r="C74" s="66"/>
      <c r="D74" s="66"/>
      <c r="E74" s="66"/>
      <c r="F74" s="66"/>
      <c r="G74" s="66"/>
    </row>
    <row r="75" spans="1:7" ht="24" customHeight="1" x14ac:dyDescent="0.3">
      <c r="A75" s="70">
        <v>72</v>
      </c>
      <c r="B75" s="66"/>
      <c r="C75" s="66"/>
      <c r="D75" s="66"/>
      <c r="E75" s="66"/>
      <c r="F75" s="66"/>
      <c r="G75" s="66"/>
    </row>
    <row r="76" spans="1:7" ht="24" customHeight="1" x14ac:dyDescent="0.3">
      <c r="A76" s="69">
        <v>73</v>
      </c>
      <c r="B76" s="66"/>
      <c r="C76" s="66"/>
      <c r="D76" s="66"/>
      <c r="E76" s="66"/>
      <c r="F76" s="66"/>
      <c r="G76" s="66"/>
    </row>
    <row r="77" spans="1:7" ht="24" customHeight="1" x14ac:dyDescent="0.3">
      <c r="A77" s="70">
        <v>74</v>
      </c>
      <c r="B77" s="66"/>
      <c r="C77" s="66"/>
      <c r="D77" s="66"/>
      <c r="E77" s="66"/>
      <c r="F77" s="66"/>
      <c r="G77" s="66"/>
    </row>
    <row r="78" spans="1:7" x14ac:dyDescent="0.3">
      <c r="A78" s="69">
        <v>75</v>
      </c>
      <c r="B78" s="66"/>
      <c r="C78" s="66"/>
      <c r="D78" s="66"/>
      <c r="E78" s="66"/>
      <c r="F78" s="66"/>
      <c r="G78" s="66"/>
    </row>
    <row r="79" spans="1:7" x14ac:dyDescent="0.3">
      <c r="A79" s="70">
        <v>76</v>
      </c>
      <c r="B79" s="66"/>
      <c r="C79" s="66"/>
      <c r="D79" s="66"/>
      <c r="E79" s="66"/>
      <c r="F79" s="66"/>
      <c r="G79" s="66"/>
    </row>
    <row r="80" spans="1:7" x14ac:dyDescent="0.3">
      <c r="A80" s="69">
        <v>77</v>
      </c>
      <c r="B80" s="66"/>
      <c r="C80" s="66"/>
      <c r="D80" s="66"/>
      <c r="E80" s="66"/>
      <c r="F80" s="66"/>
      <c r="G80" s="66"/>
    </row>
    <row r="81" spans="1:7" x14ac:dyDescent="0.3">
      <c r="A81" s="70">
        <v>78</v>
      </c>
      <c r="B81" s="66"/>
      <c r="C81" s="66"/>
      <c r="D81" s="66"/>
      <c r="E81" s="66"/>
      <c r="F81" s="66"/>
      <c r="G81" s="66"/>
    </row>
    <row r="82" spans="1:7" x14ac:dyDescent="0.3">
      <c r="A82" s="69">
        <v>79</v>
      </c>
      <c r="B82" s="66"/>
      <c r="C82" s="66"/>
      <c r="D82" s="66"/>
      <c r="E82" s="66"/>
      <c r="F82" s="66"/>
      <c r="G82" s="66"/>
    </row>
    <row r="83" spans="1:7" x14ac:dyDescent="0.3">
      <c r="A83" s="70">
        <v>80</v>
      </c>
      <c r="B83" s="66"/>
      <c r="C83" s="66"/>
      <c r="D83" s="66"/>
      <c r="E83" s="66"/>
      <c r="F83" s="66"/>
      <c r="G83" s="66"/>
    </row>
    <row r="84" spans="1:7" x14ac:dyDescent="0.3">
      <c r="A84" s="69">
        <v>81</v>
      </c>
      <c r="B84" s="66"/>
      <c r="C84" s="66"/>
      <c r="D84" s="66"/>
      <c r="E84" s="66"/>
      <c r="F84" s="66"/>
      <c r="G84" s="66"/>
    </row>
    <row r="85" spans="1:7" x14ac:dyDescent="0.3">
      <c r="A85" s="70">
        <v>82</v>
      </c>
      <c r="B85" s="66"/>
      <c r="C85" s="66"/>
      <c r="D85" s="66"/>
      <c r="E85" s="66"/>
      <c r="F85" s="66"/>
      <c r="G85" s="66"/>
    </row>
    <row r="86" spans="1:7" x14ac:dyDescent="0.3">
      <c r="A86" s="69">
        <v>83</v>
      </c>
      <c r="B86" s="66"/>
      <c r="C86" s="66"/>
      <c r="D86" s="66"/>
      <c r="E86" s="66"/>
      <c r="F86" s="66"/>
      <c r="G86" s="66"/>
    </row>
    <row r="87" spans="1:7" x14ac:dyDescent="0.3">
      <c r="A87" s="70">
        <v>84</v>
      </c>
      <c r="B87" s="66"/>
      <c r="C87" s="66"/>
      <c r="D87" s="66"/>
      <c r="E87" s="66"/>
      <c r="F87" s="66"/>
      <c r="G87" s="66"/>
    </row>
    <row r="88" spans="1:7" x14ac:dyDescent="0.3">
      <c r="A88" s="69">
        <v>85</v>
      </c>
      <c r="B88" s="66"/>
      <c r="C88" s="66"/>
      <c r="D88" s="66"/>
      <c r="E88" s="66"/>
      <c r="F88" s="66"/>
      <c r="G88" s="66"/>
    </row>
    <row r="89" spans="1:7" x14ac:dyDescent="0.3">
      <c r="A89" s="70">
        <v>86</v>
      </c>
      <c r="B89" s="66"/>
      <c r="C89" s="66"/>
      <c r="D89" s="66"/>
      <c r="E89" s="66"/>
      <c r="F89" s="66"/>
      <c r="G89" s="66"/>
    </row>
    <row r="90" spans="1:7" x14ac:dyDescent="0.3">
      <c r="A90" s="69">
        <v>87</v>
      </c>
      <c r="B90" s="66"/>
      <c r="C90" s="66"/>
      <c r="D90" s="66"/>
      <c r="E90" s="66"/>
      <c r="F90" s="66"/>
      <c r="G90" s="66"/>
    </row>
    <row r="91" spans="1:7" x14ac:dyDescent="0.3">
      <c r="A91" s="70">
        <v>88</v>
      </c>
      <c r="B91" s="66"/>
      <c r="C91" s="66"/>
      <c r="D91" s="66"/>
      <c r="E91" s="66"/>
      <c r="F91" s="66"/>
      <c r="G91" s="66"/>
    </row>
    <row r="92" spans="1:7" x14ac:dyDescent="0.3">
      <c r="A92" s="69">
        <v>89</v>
      </c>
      <c r="B92" s="66"/>
      <c r="C92" s="66"/>
      <c r="D92" s="66"/>
      <c r="E92" s="66"/>
      <c r="F92" s="66"/>
      <c r="G92" s="66"/>
    </row>
    <row r="93" spans="1:7" x14ac:dyDescent="0.3">
      <c r="A93" s="70">
        <v>90</v>
      </c>
      <c r="B93" s="66"/>
      <c r="C93" s="66"/>
      <c r="D93" s="66"/>
      <c r="E93" s="66"/>
      <c r="F93" s="66"/>
      <c r="G93" s="66"/>
    </row>
    <row r="94" spans="1:7" x14ac:dyDescent="0.3">
      <c r="A94" s="69">
        <v>91</v>
      </c>
      <c r="B94" s="66"/>
      <c r="C94" s="66"/>
      <c r="D94" s="66"/>
      <c r="E94" s="66"/>
      <c r="F94" s="66"/>
      <c r="G94" s="66"/>
    </row>
    <row r="95" spans="1:7" x14ac:dyDescent="0.3">
      <c r="A95" s="70">
        <v>92</v>
      </c>
      <c r="B95" s="66"/>
      <c r="C95" s="66"/>
      <c r="D95" s="66"/>
      <c r="E95" s="66"/>
      <c r="F95" s="66"/>
      <c r="G95" s="66"/>
    </row>
    <row r="96" spans="1:7" x14ac:dyDescent="0.3">
      <c r="A96" s="69">
        <v>93</v>
      </c>
      <c r="B96" s="66"/>
      <c r="C96" s="66"/>
      <c r="D96" s="66"/>
      <c r="E96" s="66"/>
      <c r="F96" s="66"/>
      <c r="G96" s="66"/>
    </row>
    <row r="97" spans="1:7" x14ac:dyDescent="0.3">
      <c r="A97" s="70">
        <v>94</v>
      </c>
      <c r="B97" s="66"/>
      <c r="C97" s="66"/>
      <c r="D97" s="66"/>
      <c r="E97" s="66"/>
      <c r="F97" s="66"/>
      <c r="G97" s="66"/>
    </row>
    <row r="98" spans="1:7" x14ac:dyDescent="0.3">
      <c r="A98" s="69">
        <v>95</v>
      </c>
      <c r="B98" s="66"/>
      <c r="C98" s="66"/>
      <c r="D98" s="66"/>
      <c r="E98" s="66"/>
      <c r="F98" s="66"/>
      <c r="G98" s="66"/>
    </row>
    <row r="99" spans="1:7" x14ac:dyDescent="0.3">
      <c r="A99" s="70">
        <v>96</v>
      </c>
      <c r="B99" s="66"/>
      <c r="C99" s="66"/>
      <c r="D99" s="66"/>
      <c r="E99" s="66"/>
      <c r="F99" s="66"/>
      <c r="G99" s="66"/>
    </row>
    <row r="100" spans="1:7" x14ac:dyDescent="0.3">
      <c r="A100" s="69">
        <v>97</v>
      </c>
      <c r="B100" s="66"/>
      <c r="C100" s="66"/>
      <c r="D100" s="66"/>
      <c r="E100" s="66"/>
      <c r="F100" s="66"/>
      <c r="G100" s="66"/>
    </row>
    <row r="101" spans="1:7" x14ac:dyDescent="0.3">
      <c r="A101" s="66"/>
      <c r="B101" s="66"/>
      <c r="C101" s="66"/>
      <c r="D101" s="66"/>
      <c r="E101" s="66"/>
      <c r="F101" s="66"/>
      <c r="G101" s="66"/>
    </row>
    <row r="102" spans="1:7" x14ac:dyDescent="0.3">
      <c r="A102" s="66"/>
      <c r="B102" s="66"/>
      <c r="C102" s="66"/>
      <c r="D102" s="66"/>
      <c r="E102" s="66"/>
      <c r="F102" s="66"/>
      <c r="G102" s="66"/>
    </row>
    <row r="103" spans="1:7" x14ac:dyDescent="0.3">
      <c r="A103" s="66"/>
      <c r="B103" s="66"/>
      <c r="C103" s="66"/>
      <c r="D103" s="66"/>
      <c r="E103" s="66"/>
      <c r="F103" s="66"/>
      <c r="G103" s="66"/>
    </row>
    <row r="104" spans="1:7" x14ac:dyDescent="0.3">
      <c r="A104" s="66"/>
      <c r="B104" s="66"/>
      <c r="C104" s="66"/>
      <c r="D104" s="66"/>
      <c r="E104" s="66"/>
      <c r="F104" s="66"/>
      <c r="G104" s="66"/>
    </row>
    <row r="105" spans="1:7" x14ac:dyDescent="0.3">
      <c r="A105" s="66"/>
      <c r="B105" s="66"/>
      <c r="C105" s="66"/>
      <c r="D105" s="66"/>
      <c r="E105" s="66"/>
      <c r="F105" s="66"/>
      <c r="G105" s="66"/>
    </row>
    <row r="106" spans="1:7" x14ac:dyDescent="0.3">
      <c r="A106" s="67"/>
      <c r="B106" s="67"/>
      <c r="C106" s="67"/>
      <c r="D106" s="67"/>
      <c r="E106" s="67"/>
      <c r="F106" s="67"/>
      <c r="G106" s="67"/>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58" t="s">
        <v>91</v>
      </c>
      <c r="B1" s="158"/>
      <c r="C1" s="158"/>
      <c r="D1" s="158"/>
      <c r="E1" s="158"/>
      <c r="F1" s="158"/>
      <c r="G1" s="158"/>
      <c r="H1" s="158"/>
      <c r="I1" s="158"/>
    </row>
    <row r="3" spans="1:10" s="2" customFormat="1" x14ac:dyDescent="0.3">
      <c r="A3" s="71" t="s">
        <v>76</v>
      </c>
      <c r="B3" s="71" t="s">
        <v>82</v>
      </c>
      <c r="C3" s="71" t="s">
        <v>83</v>
      </c>
      <c r="D3" s="71" t="s">
        <v>84</v>
      </c>
      <c r="E3" s="71" t="s">
        <v>85</v>
      </c>
      <c r="F3" s="71" t="s">
        <v>86</v>
      </c>
      <c r="G3" s="71" t="s">
        <v>87</v>
      </c>
      <c r="H3" s="71" t="s">
        <v>88</v>
      </c>
      <c r="I3" s="71" t="s">
        <v>89</v>
      </c>
      <c r="J3" s="71" t="s">
        <v>90</v>
      </c>
    </row>
    <row r="4" spans="1:10" ht="24" customHeight="1" x14ac:dyDescent="0.3">
      <c r="A4" s="69">
        <v>1</v>
      </c>
      <c r="B4" s="68"/>
      <c r="C4" s="68"/>
      <c r="D4" s="68"/>
      <c r="E4" s="68"/>
      <c r="F4" s="68"/>
      <c r="G4" s="68"/>
      <c r="H4" s="68"/>
      <c r="I4" s="68"/>
      <c r="J4" s="68"/>
    </row>
    <row r="5" spans="1:10" ht="24" customHeight="1" x14ac:dyDescent="0.3">
      <c r="A5" s="70">
        <v>2</v>
      </c>
      <c r="B5" s="66"/>
      <c r="C5" s="66"/>
      <c r="D5" s="66"/>
      <c r="E5" s="66"/>
      <c r="F5" s="66"/>
      <c r="G5" s="66"/>
      <c r="H5" s="66"/>
      <c r="I5" s="66"/>
      <c r="J5" s="68"/>
    </row>
    <row r="6" spans="1:10" ht="24" customHeight="1" x14ac:dyDescent="0.3">
      <c r="A6" s="69">
        <v>3</v>
      </c>
      <c r="B6" s="66"/>
      <c r="C6" s="66"/>
      <c r="D6" s="66"/>
      <c r="E6" s="66"/>
      <c r="F6" s="66"/>
      <c r="G6" s="66"/>
      <c r="H6" s="66"/>
      <c r="I6" s="66"/>
      <c r="J6" s="68"/>
    </row>
    <row r="7" spans="1:10" ht="24" customHeight="1" x14ac:dyDescent="0.3">
      <c r="A7" s="70">
        <v>4</v>
      </c>
      <c r="B7" s="66"/>
      <c r="C7" s="66"/>
      <c r="D7" s="66"/>
      <c r="E7" s="66"/>
      <c r="F7" s="66"/>
      <c r="G7" s="66"/>
      <c r="H7" s="66"/>
      <c r="I7" s="66"/>
      <c r="J7" s="68"/>
    </row>
    <row r="8" spans="1:10" ht="24" customHeight="1" x14ac:dyDescent="0.3">
      <c r="A8" s="69">
        <v>5</v>
      </c>
      <c r="B8" s="66"/>
      <c r="C8" s="66"/>
      <c r="D8" s="66"/>
      <c r="E8" s="66"/>
      <c r="F8" s="66"/>
      <c r="G8" s="66"/>
      <c r="H8" s="66"/>
      <c r="I8" s="66"/>
      <c r="J8" s="68"/>
    </row>
    <row r="9" spans="1:10" ht="24" customHeight="1" x14ac:dyDescent="0.3">
      <c r="A9" s="70">
        <v>6</v>
      </c>
      <c r="B9" s="66"/>
      <c r="C9" s="66"/>
      <c r="D9" s="66"/>
      <c r="E9" s="66"/>
      <c r="F9" s="66"/>
      <c r="G9" s="66"/>
      <c r="H9" s="66"/>
      <c r="I9" s="66"/>
      <c r="J9" s="68"/>
    </row>
    <row r="10" spans="1:10" ht="24" customHeight="1" x14ac:dyDescent="0.3">
      <c r="A10" s="69">
        <v>7</v>
      </c>
      <c r="B10" s="66"/>
      <c r="C10" s="66"/>
      <c r="D10" s="66"/>
      <c r="E10" s="66"/>
      <c r="F10" s="66"/>
      <c r="G10" s="66"/>
      <c r="H10" s="66"/>
      <c r="I10" s="66"/>
      <c r="J10" s="68"/>
    </row>
    <row r="11" spans="1:10" ht="24" customHeight="1" x14ac:dyDescent="0.3">
      <c r="A11" s="70">
        <v>8</v>
      </c>
      <c r="B11" s="66"/>
      <c r="C11" s="66"/>
      <c r="D11" s="66"/>
      <c r="E11" s="66"/>
      <c r="F11" s="66"/>
      <c r="G11" s="66"/>
      <c r="H11" s="66"/>
      <c r="I11" s="66"/>
      <c r="J11" s="68"/>
    </row>
    <row r="12" spans="1:10" ht="24" customHeight="1" x14ac:dyDescent="0.3">
      <c r="A12" s="69">
        <v>9</v>
      </c>
      <c r="B12" s="66"/>
      <c r="C12" s="66"/>
      <c r="D12" s="66"/>
      <c r="E12" s="66"/>
      <c r="F12" s="66"/>
      <c r="G12" s="66"/>
      <c r="H12" s="66"/>
      <c r="I12" s="66"/>
      <c r="J12" s="68"/>
    </row>
    <row r="13" spans="1:10" ht="24" customHeight="1" x14ac:dyDescent="0.3">
      <c r="A13" s="70">
        <v>10</v>
      </c>
      <c r="B13" s="66"/>
      <c r="C13" s="66"/>
      <c r="D13" s="66"/>
      <c r="E13" s="66"/>
      <c r="F13" s="66"/>
      <c r="G13" s="66"/>
      <c r="H13" s="66"/>
      <c r="I13" s="66"/>
      <c r="J13" s="68"/>
    </row>
    <row r="14" spans="1:10" ht="24" customHeight="1" x14ac:dyDescent="0.3">
      <c r="A14" s="69">
        <v>11</v>
      </c>
      <c r="B14" s="66"/>
      <c r="C14" s="66"/>
      <c r="D14" s="66"/>
      <c r="E14" s="66"/>
      <c r="F14" s="66"/>
      <c r="G14" s="66"/>
      <c r="H14" s="66"/>
      <c r="I14" s="66"/>
      <c r="J14" s="68"/>
    </row>
    <row r="15" spans="1:10" ht="24" customHeight="1" x14ac:dyDescent="0.3">
      <c r="A15" s="70">
        <v>12</v>
      </c>
      <c r="B15" s="66"/>
      <c r="C15" s="66"/>
      <c r="D15" s="66"/>
      <c r="E15" s="66"/>
      <c r="F15" s="66"/>
      <c r="G15" s="66"/>
      <c r="H15" s="66"/>
      <c r="I15" s="66"/>
      <c r="J15" s="68"/>
    </row>
    <row r="16" spans="1:10" ht="24" customHeight="1" x14ac:dyDescent="0.3">
      <c r="A16" s="69">
        <v>13</v>
      </c>
      <c r="B16" s="66"/>
      <c r="C16" s="66"/>
      <c r="D16" s="66"/>
      <c r="E16" s="66"/>
      <c r="F16" s="66"/>
      <c r="G16" s="66"/>
      <c r="H16" s="66"/>
      <c r="I16" s="66"/>
      <c r="J16" s="68"/>
    </row>
    <row r="17" spans="1:10" ht="24" customHeight="1" x14ac:dyDescent="0.3">
      <c r="A17" s="70">
        <v>14</v>
      </c>
      <c r="B17" s="66"/>
      <c r="C17" s="66"/>
      <c r="D17" s="66"/>
      <c r="E17" s="66"/>
      <c r="F17" s="66"/>
      <c r="G17" s="66"/>
      <c r="H17" s="66"/>
      <c r="I17" s="66"/>
      <c r="J17" s="68"/>
    </row>
    <row r="18" spans="1:10" ht="24" customHeight="1" x14ac:dyDescent="0.3">
      <c r="A18" s="69">
        <v>15</v>
      </c>
      <c r="B18" s="66"/>
      <c r="C18" s="66"/>
      <c r="D18" s="66"/>
      <c r="E18" s="66"/>
      <c r="F18" s="66"/>
      <c r="G18" s="66"/>
      <c r="H18" s="66"/>
      <c r="I18" s="66"/>
      <c r="J18" s="68"/>
    </row>
    <row r="19" spans="1:10" ht="24" customHeight="1" x14ac:dyDescent="0.3">
      <c r="A19" s="70">
        <v>16</v>
      </c>
      <c r="B19" s="66"/>
      <c r="C19" s="66"/>
      <c r="D19" s="66"/>
      <c r="E19" s="66"/>
      <c r="F19" s="66"/>
      <c r="G19" s="66"/>
      <c r="H19" s="66"/>
      <c r="I19" s="66"/>
      <c r="J19" s="68"/>
    </row>
    <row r="20" spans="1:10" ht="24" customHeight="1" x14ac:dyDescent="0.3">
      <c r="A20" s="69">
        <v>17</v>
      </c>
      <c r="B20" s="66"/>
      <c r="C20" s="66"/>
      <c r="D20" s="66"/>
      <c r="E20" s="66"/>
      <c r="F20" s="66"/>
      <c r="G20" s="66"/>
      <c r="H20" s="66"/>
      <c r="I20" s="66"/>
      <c r="J20" s="68"/>
    </row>
    <row r="21" spans="1:10" ht="24" customHeight="1" x14ac:dyDescent="0.3">
      <c r="A21" s="70">
        <v>18</v>
      </c>
      <c r="B21" s="66"/>
      <c r="C21" s="66"/>
      <c r="D21" s="66"/>
      <c r="E21" s="66"/>
      <c r="F21" s="66"/>
      <c r="G21" s="66"/>
      <c r="H21" s="66"/>
      <c r="I21" s="66"/>
      <c r="J21" s="68"/>
    </row>
    <row r="22" spans="1:10" ht="24" customHeight="1" x14ac:dyDescent="0.3">
      <c r="A22" s="69">
        <v>19</v>
      </c>
      <c r="B22" s="66"/>
      <c r="C22" s="66"/>
      <c r="D22" s="66"/>
      <c r="E22" s="66"/>
      <c r="F22" s="66"/>
      <c r="G22" s="66"/>
      <c r="H22" s="66"/>
      <c r="I22" s="66"/>
      <c r="J22" s="68"/>
    </row>
    <row r="23" spans="1:10" ht="24" customHeight="1" x14ac:dyDescent="0.3">
      <c r="A23" s="70">
        <v>20</v>
      </c>
      <c r="B23" s="66"/>
      <c r="C23" s="66"/>
      <c r="D23" s="66"/>
      <c r="E23" s="66"/>
      <c r="F23" s="66"/>
      <c r="G23" s="66"/>
      <c r="H23" s="66"/>
      <c r="I23" s="66"/>
      <c r="J23" s="68"/>
    </row>
    <row r="24" spans="1:10" ht="24" customHeight="1" x14ac:dyDescent="0.3">
      <c r="A24" s="69">
        <v>21</v>
      </c>
      <c r="B24" s="66"/>
      <c r="C24" s="66"/>
      <c r="D24" s="66"/>
      <c r="E24" s="66"/>
      <c r="F24" s="66"/>
      <c r="G24" s="66"/>
      <c r="H24" s="66"/>
      <c r="I24" s="66"/>
      <c r="J24" s="68"/>
    </row>
    <row r="25" spans="1:10" ht="24" customHeight="1" x14ac:dyDescent="0.3">
      <c r="A25" s="70">
        <v>22</v>
      </c>
      <c r="B25" s="66"/>
      <c r="C25" s="66"/>
      <c r="D25" s="66"/>
      <c r="E25" s="66"/>
      <c r="F25" s="66"/>
      <c r="G25" s="66"/>
      <c r="H25" s="66"/>
      <c r="I25" s="66"/>
      <c r="J25" s="68"/>
    </row>
    <row r="26" spans="1:10" ht="24" customHeight="1" x14ac:dyDescent="0.3">
      <c r="A26" s="69">
        <v>23</v>
      </c>
      <c r="B26" s="66"/>
      <c r="C26" s="66"/>
      <c r="D26" s="66"/>
      <c r="E26" s="66"/>
      <c r="F26" s="66"/>
      <c r="G26" s="66"/>
      <c r="H26" s="66"/>
      <c r="I26" s="66"/>
      <c r="J26" s="68"/>
    </row>
    <row r="27" spans="1:10" ht="24" customHeight="1" x14ac:dyDescent="0.3">
      <c r="A27" s="70">
        <v>24</v>
      </c>
      <c r="B27" s="66"/>
      <c r="C27" s="66"/>
      <c r="D27" s="66"/>
      <c r="E27" s="66"/>
      <c r="F27" s="66"/>
      <c r="G27" s="66"/>
      <c r="H27" s="66"/>
      <c r="I27" s="66"/>
      <c r="J27" s="68"/>
    </row>
    <row r="28" spans="1:10" ht="24" customHeight="1" x14ac:dyDescent="0.3">
      <c r="A28" s="69">
        <v>25</v>
      </c>
      <c r="B28" s="66"/>
      <c r="C28" s="66"/>
      <c r="D28" s="66"/>
      <c r="E28" s="66"/>
      <c r="F28" s="66"/>
      <c r="G28" s="66"/>
      <c r="H28" s="66"/>
      <c r="I28" s="66"/>
      <c r="J28" s="68"/>
    </row>
    <row r="29" spans="1:10" ht="24" customHeight="1" x14ac:dyDescent="0.3">
      <c r="A29" s="70">
        <v>26</v>
      </c>
      <c r="B29" s="66"/>
      <c r="C29" s="66"/>
      <c r="D29" s="66"/>
      <c r="E29" s="66"/>
      <c r="F29" s="66"/>
      <c r="G29" s="66"/>
      <c r="H29" s="66"/>
      <c r="I29" s="66"/>
      <c r="J29" s="68"/>
    </row>
    <row r="30" spans="1:10" ht="24" customHeight="1" x14ac:dyDescent="0.3">
      <c r="A30" s="69">
        <v>27</v>
      </c>
      <c r="B30" s="66"/>
      <c r="C30" s="66"/>
      <c r="D30" s="66"/>
      <c r="E30" s="66"/>
      <c r="F30" s="66"/>
      <c r="G30" s="66"/>
      <c r="H30" s="66"/>
      <c r="I30" s="66"/>
      <c r="J30" s="68"/>
    </row>
    <row r="31" spans="1:10" ht="24" customHeight="1" x14ac:dyDescent="0.3">
      <c r="A31" s="70">
        <v>28</v>
      </c>
      <c r="B31" s="66"/>
      <c r="C31" s="66"/>
      <c r="D31" s="66"/>
      <c r="E31" s="66"/>
      <c r="F31" s="66"/>
      <c r="G31" s="66"/>
      <c r="H31" s="66"/>
      <c r="I31" s="66"/>
      <c r="J31" s="68"/>
    </row>
    <row r="32" spans="1:10" ht="24" customHeight="1" x14ac:dyDescent="0.3">
      <c r="A32" s="69">
        <v>29</v>
      </c>
      <c r="B32" s="66"/>
      <c r="C32" s="66"/>
      <c r="D32" s="66"/>
      <c r="E32" s="66"/>
      <c r="F32" s="66"/>
      <c r="G32" s="66"/>
      <c r="H32" s="66"/>
      <c r="I32" s="66"/>
      <c r="J32" s="68"/>
    </row>
    <row r="33" spans="1:10" ht="24" customHeight="1" x14ac:dyDescent="0.3">
      <c r="A33" s="70">
        <v>30</v>
      </c>
      <c r="B33" s="66"/>
      <c r="C33" s="66"/>
      <c r="D33" s="66"/>
      <c r="E33" s="66"/>
      <c r="F33" s="66"/>
      <c r="G33" s="66"/>
      <c r="H33" s="66"/>
      <c r="I33" s="66"/>
      <c r="J33" s="68"/>
    </row>
    <row r="34" spans="1:10" ht="24" customHeight="1" x14ac:dyDescent="0.3">
      <c r="A34" s="69">
        <v>31</v>
      </c>
      <c r="B34" s="66"/>
      <c r="C34" s="66"/>
      <c r="D34" s="66"/>
      <c r="E34" s="66"/>
      <c r="F34" s="66"/>
      <c r="G34" s="66"/>
      <c r="H34" s="66"/>
      <c r="I34" s="66"/>
      <c r="J34" s="68"/>
    </row>
    <row r="35" spans="1:10" ht="24" customHeight="1" x14ac:dyDescent="0.3">
      <c r="A35" s="70">
        <v>32</v>
      </c>
      <c r="B35" s="66"/>
      <c r="C35" s="66"/>
      <c r="D35" s="66"/>
      <c r="E35" s="66"/>
      <c r="F35" s="66"/>
      <c r="G35" s="66"/>
      <c r="H35" s="66"/>
      <c r="I35" s="66"/>
      <c r="J35" s="68"/>
    </row>
    <row r="36" spans="1:10" ht="24" customHeight="1" x14ac:dyDescent="0.3">
      <c r="A36" s="69">
        <v>33</v>
      </c>
      <c r="B36" s="66"/>
      <c r="C36" s="66"/>
      <c r="D36" s="66"/>
      <c r="E36" s="66"/>
      <c r="F36" s="66"/>
      <c r="G36" s="66"/>
      <c r="H36" s="66"/>
      <c r="I36" s="66"/>
      <c r="J36" s="68"/>
    </row>
    <row r="37" spans="1:10" ht="24" customHeight="1" x14ac:dyDescent="0.3">
      <c r="A37" s="70">
        <v>34</v>
      </c>
      <c r="B37" s="66"/>
      <c r="C37" s="66"/>
      <c r="D37" s="66"/>
      <c r="E37" s="66"/>
      <c r="F37" s="66"/>
      <c r="G37" s="66"/>
      <c r="H37" s="66"/>
      <c r="I37" s="66"/>
      <c r="J37" s="68"/>
    </row>
    <row r="38" spans="1:10" ht="24" customHeight="1" x14ac:dyDescent="0.3">
      <c r="A38" s="69">
        <v>35</v>
      </c>
      <c r="B38" s="66"/>
      <c r="C38" s="66"/>
      <c r="D38" s="66"/>
      <c r="E38" s="66"/>
      <c r="F38" s="66"/>
      <c r="G38" s="66"/>
      <c r="H38" s="66"/>
      <c r="I38" s="66"/>
      <c r="J38" s="68"/>
    </row>
    <row r="39" spans="1:10" ht="24" customHeight="1" x14ac:dyDescent="0.3">
      <c r="A39" s="70">
        <v>36</v>
      </c>
      <c r="B39" s="66"/>
      <c r="C39" s="66"/>
      <c r="D39" s="66"/>
      <c r="E39" s="66"/>
      <c r="F39" s="66"/>
      <c r="G39" s="66"/>
      <c r="H39" s="66"/>
      <c r="I39" s="66"/>
      <c r="J39" s="68"/>
    </row>
    <row r="40" spans="1:10" ht="24" customHeight="1" x14ac:dyDescent="0.3">
      <c r="A40" s="69">
        <v>37</v>
      </c>
      <c r="B40" s="66"/>
      <c r="C40" s="66"/>
      <c r="D40" s="66"/>
      <c r="E40" s="66"/>
      <c r="F40" s="66"/>
      <c r="G40" s="66"/>
      <c r="H40" s="66"/>
      <c r="I40" s="66"/>
      <c r="J40" s="68"/>
    </row>
    <row r="41" spans="1:10" ht="24" customHeight="1" x14ac:dyDescent="0.3">
      <c r="A41" s="70">
        <v>38</v>
      </c>
      <c r="B41" s="66"/>
      <c r="C41" s="66"/>
      <c r="D41" s="66"/>
      <c r="E41" s="66"/>
      <c r="F41" s="66"/>
      <c r="G41" s="66"/>
      <c r="H41" s="66"/>
      <c r="I41" s="66"/>
      <c r="J41" s="68"/>
    </row>
    <row r="42" spans="1:10" ht="24" customHeight="1" x14ac:dyDescent="0.3">
      <c r="A42" s="69">
        <v>39</v>
      </c>
      <c r="B42" s="66"/>
      <c r="C42" s="66"/>
      <c r="D42" s="66"/>
      <c r="E42" s="66"/>
      <c r="F42" s="66"/>
      <c r="G42" s="66"/>
      <c r="H42" s="66"/>
      <c r="I42" s="66"/>
      <c r="J42" s="68"/>
    </row>
    <row r="43" spans="1:10" ht="24" customHeight="1" x14ac:dyDescent="0.3">
      <c r="A43" s="70">
        <v>40</v>
      </c>
      <c r="B43" s="66"/>
      <c r="C43" s="66"/>
      <c r="D43" s="66"/>
      <c r="E43" s="66"/>
      <c r="F43" s="66"/>
      <c r="G43" s="66"/>
      <c r="H43" s="66"/>
      <c r="I43" s="66"/>
      <c r="J43" s="68"/>
    </row>
    <row r="44" spans="1:10" ht="24" customHeight="1" x14ac:dyDescent="0.3">
      <c r="A44" s="69">
        <v>41</v>
      </c>
      <c r="B44" s="66"/>
      <c r="C44" s="66"/>
      <c r="D44" s="66"/>
      <c r="E44" s="66"/>
      <c r="F44" s="66"/>
      <c r="G44" s="66"/>
      <c r="H44" s="66"/>
      <c r="I44" s="66"/>
      <c r="J44" s="68"/>
    </row>
    <row r="45" spans="1:10" ht="24" customHeight="1" x14ac:dyDescent="0.3">
      <c r="A45" s="70">
        <v>42</v>
      </c>
      <c r="B45" s="66"/>
      <c r="C45" s="66"/>
      <c r="D45" s="66"/>
      <c r="E45" s="66"/>
      <c r="F45" s="66"/>
      <c r="G45" s="66"/>
      <c r="H45" s="66"/>
      <c r="I45" s="66"/>
      <c r="J45" s="68"/>
    </row>
    <row r="46" spans="1:10" ht="24" customHeight="1" x14ac:dyDescent="0.3">
      <c r="A46" s="69">
        <v>43</v>
      </c>
      <c r="B46" s="66"/>
      <c r="C46" s="66"/>
      <c r="D46" s="66"/>
      <c r="E46" s="66"/>
      <c r="F46" s="66"/>
      <c r="G46" s="66"/>
      <c r="H46" s="66"/>
      <c r="I46" s="66"/>
      <c r="J46" s="68"/>
    </row>
    <row r="47" spans="1:10" ht="24" customHeight="1" x14ac:dyDescent="0.3">
      <c r="A47" s="70">
        <v>44</v>
      </c>
      <c r="B47" s="66"/>
      <c r="C47" s="66"/>
      <c r="D47" s="66"/>
      <c r="E47" s="66"/>
      <c r="F47" s="66"/>
      <c r="G47" s="66"/>
      <c r="H47" s="66"/>
      <c r="I47" s="66"/>
      <c r="J47" s="68"/>
    </row>
    <row r="48" spans="1:10" ht="24" customHeight="1" x14ac:dyDescent="0.3">
      <c r="A48" s="69">
        <v>45</v>
      </c>
      <c r="B48" s="66"/>
      <c r="C48" s="66"/>
      <c r="D48" s="66"/>
      <c r="E48" s="66"/>
      <c r="F48" s="66"/>
      <c r="G48" s="66"/>
      <c r="H48" s="66"/>
      <c r="I48" s="66"/>
      <c r="J48" s="68"/>
    </row>
    <row r="49" spans="1:10" ht="24" customHeight="1" x14ac:dyDescent="0.3">
      <c r="A49" s="70">
        <v>46</v>
      </c>
      <c r="B49" s="66"/>
      <c r="C49" s="66"/>
      <c r="D49" s="66"/>
      <c r="E49" s="66"/>
      <c r="F49" s="66"/>
      <c r="G49" s="66"/>
      <c r="H49" s="66"/>
      <c r="I49" s="66"/>
      <c r="J49" s="68"/>
    </row>
    <row r="50" spans="1:10" ht="24" customHeight="1" x14ac:dyDescent="0.3">
      <c r="A50" s="69">
        <v>47</v>
      </c>
      <c r="B50" s="66"/>
      <c r="C50" s="66"/>
      <c r="D50" s="66"/>
      <c r="E50" s="66"/>
      <c r="F50" s="66"/>
      <c r="G50" s="66"/>
      <c r="H50" s="66"/>
      <c r="I50" s="66"/>
      <c r="J50" s="68"/>
    </row>
    <row r="51" spans="1:10" ht="24" customHeight="1" x14ac:dyDescent="0.3">
      <c r="A51" s="70">
        <v>48</v>
      </c>
      <c r="B51" s="66"/>
      <c r="C51" s="66"/>
      <c r="D51" s="66"/>
      <c r="E51" s="66"/>
      <c r="F51" s="66"/>
      <c r="G51" s="66"/>
      <c r="H51" s="66"/>
      <c r="I51" s="66"/>
      <c r="J51" s="68"/>
    </row>
    <row r="52" spans="1:10" ht="24" customHeight="1" x14ac:dyDescent="0.3">
      <c r="A52" s="69">
        <v>49</v>
      </c>
      <c r="B52" s="66"/>
      <c r="C52" s="66"/>
      <c r="D52" s="66"/>
      <c r="E52" s="66"/>
      <c r="F52" s="66"/>
      <c r="G52" s="66"/>
      <c r="H52" s="66"/>
      <c r="I52" s="66"/>
      <c r="J52" s="68"/>
    </row>
    <row r="53" spans="1:10" ht="24" customHeight="1" x14ac:dyDescent="0.3">
      <c r="A53" s="70">
        <v>50</v>
      </c>
      <c r="B53" s="66"/>
      <c r="C53" s="66"/>
      <c r="D53" s="66"/>
      <c r="E53" s="66"/>
      <c r="F53" s="66"/>
      <c r="G53" s="66"/>
      <c r="H53" s="66"/>
      <c r="I53" s="66"/>
      <c r="J53" s="68"/>
    </row>
    <row r="54" spans="1:10" ht="24" customHeight="1" x14ac:dyDescent="0.3">
      <c r="A54" s="69">
        <v>51</v>
      </c>
      <c r="B54" s="66"/>
      <c r="C54" s="66"/>
      <c r="D54" s="66"/>
      <c r="E54" s="66"/>
      <c r="F54" s="66"/>
      <c r="G54" s="66"/>
      <c r="H54" s="66"/>
      <c r="I54" s="66"/>
      <c r="J54" s="68"/>
    </row>
    <row r="55" spans="1:10" ht="24" customHeight="1" x14ac:dyDescent="0.3">
      <c r="A55" s="70">
        <v>52</v>
      </c>
      <c r="B55" s="66"/>
      <c r="C55" s="66"/>
      <c r="D55" s="66"/>
      <c r="E55" s="66"/>
      <c r="F55" s="66"/>
      <c r="G55" s="66"/>
      <c r="H55" s="66"/>
      <c r="I55" s="66"/>
      <c r="J55" s="68"/>
    </row>
    <row r="56" spans="1:10" ht="24" customHeight="1" x14ac:dyDescent="0.3">
      <c r="A56" s="69">
        <v>53</v>
      </c>
      <c r="B56" s="66"/>
      <c r="C56" s="66"/>
      <c r="D56" s="66"/>
      <c r="E56" s="66"/>
      <c r="F56" s="66"/>
      <c r="G56" s="66"/>
      <c r="H56" s="66"/>
      <c r="I56" s="66"/>
      <c r="J56" s="68"/>
    </row>
    <row r="57" spans="1:10" ht="24" customHeight="1" x14ac:dyDescent="0.3">
      <c r="A57" s="70">
        <v>54</v>
      </c>
      <c r="B57" s="66"/>
      <c r="C57" s="66"/>
      <c r="D57" s="66"/>
      <c r="E57" s="66"/>
      <c r="F57" s="66"/>
      <c r="G57" s="66"/>
      <c r="H57" s="66"/>
      <c r="I57" s="66"/>
      <c r="J57" s="68"/>
    </row>
    <row r="58" spans="1:10" ht="24" customHeight="1" x14ac:dyDescent="0.3">
      <c r="A58" s="69">
        <v>55</v>
      </c>
      <c r="B58" s="66"/>
      <c r="C58" s="66"/>
      <c r="D58" s="66"/>
      <c r="E58" s="66"/>
      <c r="F58" s="66"/>
      <c r="G58" s="66"/>
      <c r="H58" s="66"/>
      <c r="I58" s="66"/>
      <c r="J58" s="68"/>
    </row>
    <row r="59" spans="1:10" ht="24" customHeight="1" x14ac:dyDescent="0.3">
      <c r="A59" s="70">
        <v>56</v>
      </c>
      <c r="B59" s="66"/>
      <c r="C59" s="66"/>
      <c r="D59" s="66"/>
      <c r="E59" s="66"/>
      <c r="F59" s="66"/>
      <c r="G59" s="66"/>
      <c r="H59" s="66"/>
      <c r="I59" s="66"/>
      <c r="J59" s="68"/>
    </row>
    <row r="60" spans="1:10" ht="24" customHeight="1" x14ac:dyDescent="0.3">
      <c r="A60" s="69">
        <v>57</v>
      </c>
      <c r="B60" s="66"/>
      <c r="C60" s="66"/>
      <c r="D60" s="66"/>
      <c r="E60" s="66"/>
      <c r="F60" s="66"/>
      <c r="G60" s="66"/>
      <c r="H60" s="66"/>
      <c r="I60" s="66"/>
      <c r="J60" s="68"/>
    </row>
    <row r="61" spans="1:10" ht="24" customHeight="1" x14ac:dyDescent="0.3">
      <c r="A61" s="70">
        <v>58</v>
      </c>
      <c r="B61" s="66"/>
      <c r="C61" s="66"/>
      <c r="D61" s="66"/>
      <c r="E61" s="66"/>
      <c r="F61" s="66"/>
      <c r="G61" s="66"/>
      <c r="H61" s="66"/>
      <c r="I61" s="66"/>
      <c r="J61" s="68"/>
    </row>
    <row r="62" spans="1:10" ht="24" customHeight="1" x14ac:dyDescent="0.3">
      <c r="A62" s="69">
        <v>59</v>
      </c>
      <c r="B62" s="66"/>
      <c r="C62" s="66"/>
      <c r="D62" s="66"/>
      <c r="E62" s="66"/>
      <c r="F62" s="66"/>
      <c r="G62" s="66"/>
      <c r="H62" s="66"/>
      <c r="I62" s="66"/>
      <c r="J62" s="68"/>
    </row>
    <row r="63" spans="1:10" ht="24" customHeight="1" x14ac:dyDescent="0.3">
      <c r="A63" s="70">
        <v>60</v>
      </c>
      <c r="B63" s="66"/>
      <c r="C63" s="66"/>
      <c r="D63" s="66"/>
      <c r="E63" s="66"/>
      <c r="F63" s="66"/>
      <c r="G63" s="66"/>
      <c r="H63" s="66"/>
      <c r="I63" s="66"/>
      <c r="J63" s="68"/>
    </row>
    <row r="64" spans="1:10" ht="24" customHeight="1" x14ac:dyDescent="0.3">
      <c r="A64" s="69">
        <v>61</v>
      </c>
      <c r="B64" s="66"/>
      <c r="C64" s="66"/>
      <c r="D64" s="66"/>
      <c r="E64" s="66"/>
      <c r="F64" s="66"/>
      <c r="G64" s="66"/>
      <c r="H64" s="66"/>
      <c r="I64" s="66"/>
      <c r="J64" s="68"/>
    </row>
    <row r="65" spans="1:10" ht="24" customHeight="1" x14ac:dyDescent="0.3">
      <c r="A65" s="70">
        <v>62</v>
      </c>
      <c r="B65" s="66"/>
      <c r="C65" s="66"/>
      <c r="D65" s="66"/>
      <c r="E65" s="66"/>
      <c r="F65" s="66"/>
      <c r="G65" s="66"/>
      <c r="H65" s="66"/>
      <c r="I65" s="66"/>
      <c r="J65" s="68"/>
    </row>
    <row r="66" spans="1:10" ht="24" customHeight="1" x14ac:dyDescent="0.3">
      <c r="A66" s="69">
        <v>63</v>
      </c>
      <c r="B66" s="66"/>
      <c r="C66" s="66"/>
      <c r="D66" s="66"/>
      <c r="E66" s="66"/>
      <c r="F66" s="66"/>
      <c r="G66" s="66"/>
      <c r="H66" s="66"/>
      <c r="I66" s="66"/>
      <c r="J66" s="68"/>
    </row>
    <row r="67" spans="1:10" ht="24" customHeight="1" x14ac:dyDescent="0.3">
      <c r="A67" s="70">
        <v>64</v>
      </c>
      <c r="B67" s="66"/>
      <c r="C67" s="66"/>
      <c r="D67" s="66"/>
      <c r="E67" s="66"/>
      <c r="F67" s="66"/>
      <c r="G67" s="66"/>
      <c r="H67" s="66"/>
      <c r="I67" s="66"/>
      <c r="J67" s="68"/>
    </row>
    <row r="68" spans="1:10" ht="24" customHeight="1" x14ac:dyDescent="0.3">
      <c r="A68" s="69">
        <v>65</v>
      </c>
      <c r="B68" s="66"/>
      <c r="C68" s="66"/>
      <c r="D68" s="66"/>
      <c r="E68" s="66"/>
      <c r="F68" s="66"/>
      <c r="G68" s="66"/>
      <c r="H68" s="66"/>
      <c r="I68" s="66"/>
      <c r="J68" s="68"/>
    </row>
    <row r="69" spans="1:10" ht="24" customHeight="1" x14ac:dyDescent="0.3">
      <c r="A69" s="70">
        <v>66</v>
      </c>
      <c r="B69" s="66"/>
      <c r="C69" s="66"/>
      <c r="D69" s="66"/>
      <c r="E69" s="66"/>
      <c r="F69" s="66"/>
      <c r="G69" s="66"/>
      <c r="H69" s="66"/>
      <c r="I69" s="66"/>
      <c r="J69" s="68"/>
    </row>
    <row r="70" spans="1:10" ht="24" customHeight="1" x14ac:dyDescent="0.3">
      <c r="A70" s="69">
        <v>67</v>
      </c>
      <c r="B70" s="66"/>
      <c r="C70" s="66"/>
      <c r="D70" s="66"/>
      <c r="E70" s="66"/>
      <c r="F70" s="66"/>
      <c r="G70" s="66"/>
      <c r="H70" s="66"/>
      <c r="I70" s="66"/>
      <c r="J70" s="68"/>
    </row>
    <row r="71" spans="1:10" ht="24" customHeight="1" x14ac:dyDescent="0.3">
      <c r="A71" s="70">
        <v>68</v>
      </c>
      <c r="B71" s="66"/>
      <c r="C71" s="66"/>
      <c r="D71" s="66"/>
      <c r="E71" s="66"/>
      <c r="F71" s="66"/>
      <c r="G71" s="66"/>
      <c r="H71" s="66"/>
      <c r="I71" s="66"/>
      <c r="J71" s="68"/>
    </row>
    <row r="72" spans="1:10" ht="24" customHeight="1" x14ac:dyDescent="0.3">
      <c r="A72" s="69">
        <v>69</v>
      </c>
      <c r="B72" s="66"/>
      <c r="C72" s="66"/>
      <c r="D72" s="66"/>
      <c r="E72" s="66"/>
      <c r="F72" s="66"/>
      <c r="G72" s="66"/>
      <c r="H72" s="66"/>
      <c r="I72" s="66"/>
      <c r="J72" s="68"/>
    </row>
    <row r="73" spans="1:10" ht="24" customHeight="1" x14ac:dyDescent="0.3">
      <c r="A73" s="70">
        <v>70</v>
      </c>
      <c r="B73" s="66"/>
      <c r="C73" s="66"/>
      <c r="D73" s="66"/>
      <c r="E73" s="66"/>
      <c r="F73" s="66"/>
      <c r="G73" s="66"/>
      <c r="H73" s="66"/>
      <c r="I73" s="66"/>
      <c r="J73" s="68"/>
    </row>
    <row r="74" spans="1:10" ht="24" customHeight="1" x14ac:dyDescent="0.3">
      <c r="A74" s="69">
        <v>71</v>
      </c>
      <c r="B74" s="66"/>
      <c r="C74" s="66"/>
      <c r="D74" s="66"/>
      <c r="E74" s="66"/>
      <c r="F74" s="66"/>
      <c r="G74" s="66"/>
      <c r="H74" s="66"/>
      <c r="I74" s="66"/>
      <c r="J74" s="68"/>
    </row>
    <row r="75" spans="1:10" ht="24" customHeight="1" x14ac:dyDescent="0.3">
      <c r="A75" s="70">
        <v>72</v>
      </c>
      <c r="B75" s="66"/>
      <c r="C75" s="66"/>
      <c r="D75" s="66"/>
      <c r="E75" s="66"/>
      <c r="F75" s="66"/>
      <c r="G75" s="66"/>
      <c r="H75" s="66"/>
      <c r="I75" s="66"/>
      <c r="J75" s="68"/>
    </row>
    <row r="76" spans="1:10" ht="24" customHeight="1" x14ac:dyDescent="0.3">
      <c r="A76" s="69">
        <v>73</v>
      </c>
      <c r="B76" s="66"/>
      <c r="C76" s="66"/>
      <c r="D76" s="66"/>
      <c r="E76" s="66"/>
      <c r="F76" s="66"/>
      <c r="G76" s="66"/>
      <c r="H76" s="66"/>
      <c r="I76" s="66"/>
      <c r="J76" s="68"/>
    </row>
    <row r="77" spans="1:10" ht="24" customHeight="1" x14ac:dyDescent="0.3">
      <c r="A77" s="70">
        <v>74</v>
      </c>
      <c r="B77" s="66"/>
      <c r="C77" s="66"/>
      <c r="D77" s="66"/>
      <c r="E77" s="66"/>
      <c r="F77" s="66"/>
      <c r="G77" s="66"/>
      <c r="H77" s="66"/>
      <c r="I77" s="66"/>
      <c r="J77" s="68"/>
    </row>
    <row r="78" spans="1:10" x14ac:dyDescent="0.3">
      <c r="A78" s="69">
        <v>75</v>
      </c>
      <c r="B78" s="66"/>
      <c r="C78" s="66"/>
      <c r="D78" s="66"/>
      <c r="E78" s="66"/>
      <c r="F78" s="66"/>
      <c r="G78" s="66"/>
      <c r="H78" s="66"/>
      <c r="I78" s="66"/>
      <c r="J78" s="68"/>
    </row>
    <row r="79" spans="1:10" x14ac:dyDescent="0.3">
      <c r="A79" s="70">
        <v>76</v>
      </c>
      <c r="B79" s="66"/>
      <c r="C79" s="66"/>
      <c r="D79" s="66"/>
      <c r="E79" s="66"/>
      <c r="F79" s="66"/>
      <c r="G79" s="66"/>
      <c r="H79" s="66"/>
      <c r="I79" s="66"/>
      <c r="J79" s="68"/>
    </row>
    <row r="80" spans="1:10" x14ac:dyDescent="0.3">
      <c r="A80" s="69">
        <v>77</v>
      </c>
      <c r="B80" s="66"/>
      <c r="C80" s="66"/>
      <c r="D80" s="66"/>
      <c r="E80" s="66"/>
      <c r="F80" s="66"/>
      <c r="G80" s="66"/>
      <c r="H80" s="66"/>
      <c r="I80" s="66"/>
      <c r="J80" s="68"/>
    </row>
    <row r="81" spans="1:10" x14ac:dyDescent="0.3">
      <c r="A81" s="70">
        <v>78</v>
      </c>
      <c r="B81" s="66"/>
      <c r="C81" s="66"/>
      <c r="D81" s="66"/>
      <c r="E81" s="66"/>
      <c r="F81" s="66"/>
      <c r="G81" s="66"/>
      <c r="H81" s="66"/>
      <c r="I81" s="66"/>
      <c r="J81" s="68"/>
    </row>
    <row r="82" spans="1:10" x14ac:dyDescent="0.3">
      <c r="A82" s="69">
        <v>79</v>
      </c>
      <c r="B82" s="66"/>
      <c r="C82" s="66"/>
      <c r="D82" s="66"/>
      <c r="E82" s="66"/>
      <c r="F82" s="66"/>
      <c r="G82" s="66"/>
      <c r="H82" s="66"/>
      <c r="I82" s="66"/>
      <c r="J82" s="68"/>
    </row>
    <row r="83" spans="1:10" x14ac:dyDescent="0.3">
      <c r="A83" s="70">
        <v>80</v>
      </c>
      <c r="B83" s="66"/>
      <c r="C83" s="66"/>
      <c r="D83" s="66"/>
      <c r="E83" s="66"/>
      <c r="F83" s="66"/>
      <c r="G83" s="66"/>
      <c r="H83" s="66"/>
      <c r="I83" s="66"/>
      <c r="J83" s="68"/>
    </row>
    <row r="84" spans="1:10" x14ac:dyDescent="0.3">
      <c r="A84" s="69">
        <v>81</v>
      </c>
      <c r="B84" s="66"/>
      <c r="C84" s="66"/>
      <c r="D84" s="66"/>
      <c r="E84" s="66"/>
      <c r="F84" s="66"/>
      <c r="G84" s="66"/>
      <c r="H84" s="66"/>
      <c r="I84" s="66"/>
      <c r="J84" s="68"/>
    </row>
    <row r="85" spans="1:10" x14ac:dyDescent="0.3">
      <c r="A85" s="70">
        <v>82</v>
      </c>
      <c r="B85" s="66"/>
      <c r="C85" s="66"/>
      <c r="D85" s="66"/>
      <c r="E85" s="66"/>
      <c r="F85" s="66"/>
      <c r="G85" s="66"/>
      <c r="H85" s="66"/>
      <c r="I85" s="66"/>
      <c r="J85" s="68"/>
    </row>
    <row r="86" spans="1:10" x14ac:dyDescent="0.3">
      <c r="A86" s="69">
        <v>83</v>
      </c>
      <c r="B86" s="66"/>
      <c r="C86" s="66"/>
      <c r="D86" s="66"/>
      <c r="E86" s="66"/>
      <c r="F86" s="66"/>
      <c r="G86" s="66"/>
      <c r="H86" s="66"/>
      <c r="I86" s="66"/>
      <c r="J86" s="68"/>
    </row>
    <row r="87" spans="1:10" x14ac:dyDescent="0.3">
      <c r="A87" s="70">
        <v>84</v>
      </c>
      <c r="B87" s="66"/>
      <c r="C87" s="66"/>
      <c r="D87" s="66"/>
      <c r="E87" s="66"/>
      <c r="F87" s="66"/>
      <c r="G87" s="66"/>
      <c r="H87" s="66"/>
      <c r="I87" s="66"/>
      <c r="J87" s="68"/>
    </row>
    <row r="88" spans="1:10" x14ac:dyDescent="0.3">
      <c r="A88" s="69">
        <v>85</v>
      </c>
      <c r="B88" s="66"/>
      <c r="C88" s="66"/>
      <c r="D88" s="66"/>
      <c r="E88" s="66"/>
      <c r="F88" s="66"/>
      <c r="G88" s="66"/>
      <c r="H88" s="66"/>
      <c r="I88" s="66"/>
      <c r="J88" s="68"/>
    </row>
    <row r="89" spans="1:10" x14ac:dyDescent="0.3">
      <c r="A89" s="70">
        <v>86</v>
      </c>
      <c r="B89" s="66"/>
      <c r="C89" s="66"/>
      <c r="D89" s="66"/>
      <c r="E89" s="66"/>
      <c r="F89" s="66"/>
      <c r="G89" s="66"/>
      <c r="H89" s="66"/>
      <c r="I89" s="66"/>
      <c r="J89" s="68"/>
    </row>
    <row r="90" spans="1:10" x14ac:dyDescent="0.3">
      <c r="A90" s="69">
        <v>87</v>
      </c>
      <c r="B90" s="66"/>
      <c r="C90" s="66"/>
      <c r="D90" s="66"/>
      <c r="E90" s="66"/>
      <c r="F90" s="66"/>
      <c r="G90" s="66"/>
      <c r="H90" s="66"/>
      <c r="I90" s="66"/>
      <c r="J90" s="68"/>
    </row>
    <row r="91" spans="1:10" x14ac:dyDescent="0.3">
      <c r="A91" s="70">
        <v>88</v>
      </c>
      <c r="B91" s="66"/>
      <c r="C91" s="66"/>
      <c r="D91" s="66"/>
      <c r="E91" s="66"/>
      <c r="F91" s="66"/>
      <c r="G91" s="66"/>
      <c r="H91" s="66"/>
      <c r="I91" s="66"/>
      <c r="J91" s="68"/>
    </row>
    <row r="92" spans="1:10" x14ac:dyDescent="0.3">
      <c r="A92" s="69">
        <v>89</v>
      </c>
      <c r="B92" s="66"/>
      <c r="C92" s="66"/>
      <c r="D92" s="66"/>
      <c r="E92" s="66"/>
      <c r="F92" s="66"/>
      <c r="G92" s="66"/>
      <c r="H92" s="66"/>
      <c r="I92" s="66"/>
      <c r="J92" s="68"/>
    </row>
    <row r="93" spans="1:10" x14ac:dyDescent="0.3">
      <c r="A93" s="70">
        <v>90</v>
      </c>
      <c r="B93" s="66"/>
      <c r="C93" s="66"/>
      <c r="D93" s="66"/>
      <c r="E93" s="66"/>
      <c r="F93" s="66"/>
      <c r="G93" s="66"/>
      <c r="H93" s="66"/>
      <c r="I93" s="66"/>
      <c r="J93" s="68"/>
    </row>
    <row r="94" spans="1:10" x14ac:dyDescent="0.3">
      <c r="A94" s="69">
        <v>91</v>
      </c>
      <c r="B94" s="66"/>
      <c r="C94" s="66"/>
      <c r="D94" s="66"/>
      <c r="E94" s="66"/>
      <c r="F94" s="66"/>
      <c r="G94" s="66"/>
      <c r="H94" s="66"/>
      <c r="I94" s="66"/>
      <c r="J94" s="68"/>
    </row>
    <row r="95" spans="1:10" x14ac:dyDescent="0.3">
      <c r="A95" s="70">
        <v>92</v>
      </c>
      <c r="B95" s="66"/>
      <c r="C95" s="66"/>
      <c r="D95" s="66"/>
      <c r="E95" s="66"/>
      <c r="F95" s="66"/>
      <c r="G95" s="66"/>
      <c r="H95" s="66"/>
      <c r="I95" s="66"/>
      <c r="J95" s="68"/>
    </row>
    <row r="96" spans="1:10" x14ac:dyDescent="0.3">
      <c r="A96" s="69">
        <v>93</v>
      </c>
      <c r="B96" s="66"/>
      <c r="C96" s="66"/>
      <c r="D96" s="66"/>
      <c r="E96" s="66"/>
      <c r="F96" s="66"/>
      <c r="G96" s="66"/>
      <c r="H96" s="66"/>
      <c r="I96" s="66"/>
      <c r="J96" s="68"/>
    </row>
    <row r="97" spans="1:10" x14ac:dyDescent="0.3">
      <c r="A97" s="70">
        <v>94</v>
      </c>
      <c r="B97" s="66"/>
      <c r="C97" s="66"/>
      <c r="D97" s="66"/>
      <c r="E97" s="66"/>
      <c r="F97" s="66"/>
      <c r="G97" s="66"/>
      <c r="H97" s="66"/>
      <c r="I97" s="66"/>
      <c r="J97" s="68"/>
    </row>
    <row r="98" spans="1:10" x14ac:dyDescent="0.3">
      <c r="A98" s="69">
        <v>95</v>
      </c>
      <c r="B98" s="66"/>
      <c r="C98" s="66"/>
      <c r="D98" s="66"/>
      <c r="E98" s="66"/>
      <c r="F98" s="66"/>
      <c r="G98" s="66"/>
      <c r="H98" s="66"/>
      <c r="I98" s="66"/>
      <c r="J98" s="68"/>
    </row>
    <row r="99" spans="1:10" x14ac:dyDescent="0.3">
      <c r="A99" s="70">
        <v>96</v>
      </c>
      <c r="B99" s="66"/>
      <c r="C99" s="66"/>
      <c r="D99" s="66"/>
      <c r="E99" s="66"/>
      <c r="F99" s="66"/>
      <c r="G99" s="66"/>
      <c r="H99" s="66"/>
      <c r="I99" s="66"/>
      <c r="J99" s="68"/>
    </row>
    <row r="100" spans="1:10" x14ac:dyDescent="0.3">
      <c r="A100" s="69">
        <v>97</v>
      </c>
      <c r="B100" s="66"/>
      <c r="C100" s="66"/>
      <c r="D100" s="66"/>
      <c r="E100" s="66"/>
      <c r="F100" s="66"/>
      <c r="G100" s="66"/>
      <c r="H100" s="66"/>
      <c r="I100" s="66"/>
      <c r="J100" s="68"/>
    </row>
    <row r="101" spans="1:10" x14ac:dyDescent="0.3">
      <c r="A101" s="66"/>
      <c r="B101" s="66"/>
      <c r="C101" s="66"/>
      <c r="D101" s="66"/>
      <c r="E101" s="66"/>
      <c r="F101" s="66"/>
      <c r="G101" s="66"/>
      <c r="H101" s="66"/>
      <c r="I101" s="66"/>
      <c r="J101" s="68"/>
    </row>
    <row r="102" spans="1:10" x14ac:dyDescent="0.3">
      <c r="A102" s="66"/>
      <c r="B102" s="66"/>
      <c r="C102" s="66"/>
      <c r="D102" s="66"/>
      <c r="E102" s="66"/>
      <c r="F102" s="66"/>
      <c r="G102" s="66"/>
      <c r="H102" s="66"/>
      <c r="I102" s="66"/>
      <c r="J102" s="68"/>
    </row>
    <row r="103" spans="1:10" x14ac:dyDescent="0.3">
      <c r="A103" s="66"/>
      <c r="B103" s="66"/>
      <c r="C103" s="66"/>
      <c r="D103" s="66"/>
      <c r="E103" s="66"/>
      <c r="F103" s="66"/>
      <c r="G103" s="66"/>
      <c r="H103" s="66"/>
      <c r="I103" s="66"/>
      <c r="J103" s="68"/>
    </row>
    <row r="104" spans="1:10" x14ac:dyDescent="0.3">
      <c r="A104" s="66"/>
      <c r="B104" s="66"/>
      <c r="C104" s="66"/>
      <c r="D104" s="66"/>
      <c r="E104" s="66"/>
      <c r="F104" s="66"/>
      <c r="G104" s="66"/>
      <c r="H104" s="66"/>
      <c r="I104" s="66"/>
      <c r="J104" s="68"/>
    </row>
    <row r="105" spans="1:10" x14ac:dyDescent="0.3">
      <c r="A105" s="66"/>
      <c r="B105" s="66"/>
      <c r="C105" s="66"/>
      <c r="D105" s="66"/>
      <c r="E105" s="66"/>
      <c r="F105" s="66"/>
      <c r="G105" s="66"/>
      <c r="H105" s="66"/>
      <c r="I105" s="66"/>
      <c r="J105" s="68"/>
    </row>
    <row r="106" spans="1:10" x14ac:dyDescent="0.3">
      <c r="A106" s="67"/>
      <c r="B106" s="67"/>
      <c r="C106" s="67"/>
      <c r="D106" s="67"/>
      <c r="E106" s="67"/>
      <c r="F106" s="67"/>
      <c r="G106" s="67"/>
      <c r="H106" s="67"/>
      <c r="I106" s="67"/>
      <c r="J106" s="68"/>
    </row>
  </sheetData>
  <mergeCells count="1">
    <mergeCell ref="A1:I1"/>
  </mergeCells>
  <phoneticPr fontId="7"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3:P84"/>
  <sheetViews>
    <sheetView view="pageBreakPreview" topLeftCell="A4" zoomScaleNormal="100" zoomScaleSheetLayoutView="100" workbookViewId="0">
      <selection activeCell="E19" sqref="E19"/>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1.25" customHeight="1" x14ac:dyDescent="0.3"/>
    <row r="4" spans="1:16" ht="17.25" x14ac:dyDescent="0.25">
      <c r="A4" s="173" t="s">
        <v>43</v>
      </c>
      <c r="B4" s="173"/>
      <c r="C4" s="173"/>
      <c r="D4" s="173"/>
      <c r="E4" s="174" t="s">
        <v>17</v>
      </c>
      <c r="F4" s="174"/>
      <c r="G4" s="174"/>
      <c r="H4" s="174"/>
      <c r="I4" s="174"/>
      <c r="J4" s="174"/>
      <c r="L4" s="11"/>
      <c r="M4" s="11"/>
      <c r="N4" s="11"/>
      <c r="O4" s="11"/>
      <c r="P4" s="11"/>
    </row>
    <row r="5" spans="1:16" ht="17.25" x14ac:dyDescent="0.25">
      <c r="A5" s="175" t="s">
        <v>44</v>
      </c>
      <c r="B5" s="175"/>
      <c r="C5" s="175"/>
      <c r="D5" s="175"/>
      <c r="E5" s="174" t="s">
        <v>161</v>
      </c>
      <c r="F5" s="174"/>
      <c r="G5" s="174"/>
      <c r="H5" s="174"/>
      <c r="I5" s="174"/>
      <c r="J5" s="174"/>
      <c r="L5" s="3"/>
      <c r="M5" s="3"/>
      <c r="N5" s="3"/>
      <c r="O5" s="3"/>
      <c r="P5" s="3"/>
    </row>
    <row r="6" spans="1:16" x14ac:dyDescent="0.3">
      <c r="A6" s="159"/>
      <c r="B6" s="159"/>
      <c r="C6" s="159"/>
      <c r="D6" s="159"/>
      <c r="L6" s="11"/>
      <c r="M6" s="11"/>
      <c r="N6" s="11"/>
      <c r="O6" s="11"/>
      <c r="P6" s="11"/>
    </row>
    <row r="7" spans="1:16" x14ac:dyDescent="0.3">
      <c r="A7" s="162"/>
      <c r="B7" s="162"/>
      <c r="C7" s="162"/>
      <c r="D7" s="162"/>
      <c r="E7" s="172" t="s">
        <v>162</v>
      </c>
      <c r="F7" s="172"/>
      <c r="G7" s="172"/>
      <c r="H7" s="172"/>
      <c r="I7" s="172"/>
      <c r="J7" s="172"/>
      <c r="L7" s="11"/>
      <c r="M7" s="11"/>
      <c r="N7" s="11"/>
      <c r="O7" s="11"/>
      <c r="P7" s="11"/>
    </row>
    <row r="8" spans="1:16" x14ac:dyDescent="0.3">
      <c r="A8" s="42"/>
      <c r="B8" s="42"/>
      <c r="C8" s="42"/>
      <c r="D8" s="42"/>
      <c r="E8" s="43"/>
      <c r="F8" s="43"/>
      <c r="G8" s="43"/>
      <c r="H8" s="43"/>
      <c r="I8" s="43"/>
      <c r="J8" s="43"/>
      <c r="L8" s="11"/>
      <c r="M8" s="11"/>
      <c r="N8" s="11"/>
      <c r="O8" s="11"/>
      <c r="P8" s="11"/>
    </row>
    <row r="9" spans="1:16" x14ac:dyDescent="0.25">
      <c r="A9" s="169" t="s">
        <v>30</v>
      </c>
      <c r="B9" s="169"/>
      <c r="C9" s="169"/>
      <c r="D9" s="169"/>
      <c r="E9" s="169"/>
      <c r="F9" s="169"/>
      <c r="G9" s="169"/>
      <c r="H9" s="169"/>
      <c r="I9" s="169"/>
      <c r="J9" s="169"/>
      <c r="L9" s="11"/>
      <c r="M9" s="11"/>
      <c r="N9" s="11"/>
      <c r="O9" s="11"/>
      <c r="P9" s="11"/>
    </row>
    <row r="10" spans="1:16" ht="22.5" customHeight="1" x14ac:dyDescent="0.3">
      <c r="A10" s="21"/>
      <c r="B10" s="159" t="s">
        <v>74</v>
      </c>
      <c r="C10" s="159"/>
      <c r="D10" s="159"/>
      <c r="E10" s="159"/>
      <c r="F10" s="159"/>
      <c r="G10" s="159"/>
      <c r="H10" s="159"/>
      <c r="I10" s="159"/>
      <c r="J10" s="21"/>
      <c r="L10" s="11"/>
      <c r="M10" s="11"/>
      <c r="N10" s="11"/>
      <c r="O10" s="11"/>
      <c r="P10" s="11"/>
    </row>
    <row r="11" spans="1:16" x14ac:dyDescent="0.25">
      <c r="A11" s="44"/>
      <c r="B11" s="44"/>
      <c r="C11" s="44"/>
      <c r="D11" s="44"/>
      <c r="E11" s="44"/>
      <c r="F11" s="44"/>
      <c r="G11" s="44"/>
      <c r="H11" s="44"/>
      <c r="I11" s="44"/>
      <c r="J11" s="44"/>
      <c r="L11" s="11"/>
      <c r="M11" s="11"/>
      <c r="N11" s="11"/>
      <c r="O11" s="11"/>
      <c r="P11" s="11"/>
    </row>
    <row r="12" spans="1:16" x14ac:dyDescent="0.3">
      <c r="A12" s="162" t="s">
        <v>163</v>
      </c>
      <c r="B12" s="159"/>
      <c r="C12" s="159"/>
      <c r="D12" s="159"/>
      <c r="E12" s="22"/>
      <c r="F12" s="21"/>
      <c r="G12" s="21"/>
      <c r="H12" s="21"/>
      <c r="I12" s="21"/>
      <c r="J12" s="21"/>
      <c r="L12" s="11"/>
      <c r="M12" s="11"/>
      <c r="N12" s="11"/>
      <c r="O12" s="11"/>
      <c r="P12" s="11"/>
    </row>
    <row r="13" spans="1:16" x14ac:dyDescent="0.3">
      <c r="A13" s="162" t="s">
        <v>55</v>
      </c>
      <c r="B13" s="162"/>
      <c r="C13" s="25" t="s">
        <v>155</v>
      </c>
      <c r="F13" s="31" t="s">
        <v>13</v>
      </c>
      <c r="G13" s="25" t="s">
        <v>164</v>
      </c>
      <c r="H13" s="25"/>
      <c r="I13" s="25"/>
      <c r="J13" s="25"/>
      <c r="L13" s="11"/>
      <c r="M13" s="11"/>
      <c r="N13" s="11"/>
      <c r="O13" s="11"/>
      <c r="P13" s="11"/>
    </row>
    <row r="14" spans="1:16" ht="36.75" customHeight="1" x14ac:dyDescent="0.25">
      <c r="A14" s="170" t="s">
        <v>147</v>
      </c>
      <c r="B14" s="170"/>
      <c r="C14" s="170"/>
      <c r="D14" s="170"/>
      <c r="E14" s="170"/>
      <c r="F14" s="170"/>
      <c r="G14" s="170"/>
      <c r="H14" s="170"/>
      <c r="I14" s="170"/>
      <c r="J14" s="170"/>
      <c r="L14" s="11"/>
      <c r="M14" s="11"/>
      <c r="N14" s="11"/>
      <c r="O14" s="11"/>
      <c r="P14" s="11"/>
    </row>
    <row r="15" spans="1:16" x14ac:dyDescent="0.25">
      <c r="A15" s="170" t="s">
        <v>148</v>
      </c>
      <c r="B15" s="170"/>
      <c r="C15" s="170"/>
      <c r="D15" s="170"/>
      <c r="E15" s="170"/>
      <c r="F15" s="170"/>
      <c r="G15" s="170"/>
      <c r="H15" s="170"/>
      <c r="I15" s="170"/>
      <c r="J15" s="170"/>
      <c r="L15" s="11"/>
      <c r="M15" s="11"/>
      <c r="N15" s="11"/>
      <c r="O15" s="11"/>
      <c r="P15" s="11"/>
    </row>
    <row r="16" spans="1:16" ht="39" customHeight="1" x14ac:dyDescent="0.25">
      <c r="A16" s="171" t="s">
        <v>165</v>
      </c>
      <c r="B16" s="171"/>
      <c r="C16" s="171"/>
      <c r="D16" s="171"/>
      <c r="E16" s="171"/>
      <c r="F16" s="171"/>
      <c r="G16" s="171"/>
      <c r="H16" s="171"/>
      <c r="I16" s="171"/>
      <c r="J16" s="171"/>
      <c r="L16" s="11"/>
      <c r="M16" s="11"/>
      <c r="N16" s="11"/>
      <c r="O16" s="11"/>
      <c r="P16" s="11"/>
    </row>
    <row r="17" spans="1:16" x14ac:dyDescent="0.25">
      <c r="A17" s="170" t="s">
        <v>149</v>
      </c>
      <c r="B17" s="170"/>
      <c r="C17" s="170"/>
      <c r="D17" s="170"/>
      <c r="E17" s="170"/>
      <c r="F17" s="170"/>
      <c r="G17" s="170"/>
      <c r="H17" s="170"/>
      <c r="I17" s="170"/>
      <c r="J17" s="170"/>
      <c r="L17" s="11"/>
      <c r="M17" s="11"/>
      <c r="N17" s="11"/>
      <c r="O17" s="11"/>
      <c r="P17" s="11"/>
    </row>
    <row r="18" spans="1:16" ht="38.25" customHeight="1" x14ac:dyDescent="0.25">
      <c r="A18" s="169" t="s">
        <v>30</v>
      </c>
      <c r="B18" s="169"/>
      <c r="C18" s="169"/>
      <c r="D18" s="169"/>
      <c r="E18" s="169"/>
      <c r="F18" s="169"/>
      <c r="G18" s="169"/>
      <c r="H18" s="169"/>
      <c r="I18" s="169"/>
      <c r="J18" s="169"/>
      <c r="L18" s="11"/>
      <c r="M18" s="11"/>
      <c r="N18" s="11"/>
      <c r="O18" s="11"/>
      <c r="P18" s="11"/>
    </row>
    <row r="19" spans="1:16" x14ac:dyDescent="0.25">
      <c r="A19" s="51" t="s">
        <v>56</v>
      </c>
      <c r="B19" s="51"/>
      <c r="C19" s="51"/>
      <c r="D19" s="51"/>
      <c r="E19" s="51"/>
      <c r="F19" s="51">
        <f>TTCHUNG!C25</f>
        <v>0</v>
      </c>
      <c r="G19" s="51"/>
      <c r="H19" s="51"/>
      <c r="I19" s="51"/>
      <c r="J19" s="51"/>
      <c r="L19" s="11"/>
      <c r="M19" s="11"/>
      <c r="N19" s="11"/>
      <c r="O19" s="11"/>
      <c r="P19" s="11"/>
    </row>
    <row r="20" spans="1:16" x14ac:dyDescent="0.3">
      <c r="A20" s="162" t="s">
        <v>54</v>
      </c>
      <c r="B20" s="162"/>
      <c r="C20" s="25">
        <f>TTCHUNG!C26</f>
        <v>0</v>
      </c>
      <c r="E20" s="53" t="s">
        <v>13</v>
      </c>
      <c r="F20" s="40" t="str">
        <f>TTCHUNG!D27</f>
        <v>Cán bộ</v>
      </c>
      <c r="H20" s="53" t="s">
        <v>51</v>
      </c>
      <c r="I20" s="107" t="s">
        <v>166</v>
      </c>
      <c r="J20" s="51"/>
      <c r="L20" s="11"/>
      <c r="M20" s="11"/>
      <c r="N20" s="11"/>
      <c r="O20" s="11"/>
      <c r="P20" s="11"/>
    </row>
    <row r="21" spans="1:16" x14ac:dyDescent="0.3">
      <c r="A21" s="31" t="s">
        <v>52</v>
      </c>
      <c r="B21" s="22" t="s">
        <v>157</v>
      </c>
      <c r="C21" s="52"/>
      <c r="E21" s="53"/>
      <c r="F21" s="40"/>
      <c r="H21" s="53"/>
      <c r="I21" s="40"/>
      <c r="J21" s="51"/>
      <c r="L21" s="11"/>
      <c r="M21" s="11"/>
      <c r="N21" s="11"/>
      <c r="O21" s="11"/>
      <c r="P21" s="11"/>
    </row>
    <row r="22" spans="1:16" x14ac:dyDescent="0.3">
      <c r="A22" s="162" t="s">
        <v>20</v>
      </c>
      <c r="B22" s="162"/>
      <c r="C22" s="162"/>
      <c r="D22" s="22">
        <f>TTCHUNG!C7</f>
        <v>0</v>
      </c>
      <c r="G22" s="25"/>
      <c r="H22" s="166" t="s">
        <v>22</v>
      </c>
      <c r="I22" s="166"/>
      <c r="J22" s="81" t="str">
        <f>TTCHUNG!C9</f>
        <v/>
      </c>
    </row>
    <row r="23" spans="1:16" x14ac:dyDescent="0.3">
      <c r="A23" s="162" t="s">
        <v>53</v>
      </c>
      <c r="B23" s="162"/>
      <c r="C23" s="162"/>
      <c r="D23" s="25">
        <f>TTCHUNG!C11</f>
        <v>0</v>
      </c>
      <c r="E23" s="25"/>
      <c r="F23" s="25"/>
      <c r="G23" s="25"/>
      <c r="H23" s="25"/>
      <c r="I23" s="25"/>
      <c r="J23" s="25"/>
    </row>
    <row r="24" spans="1:16" ht="19.5" x14ac:dyDescent="0.35">
      <c r="A24" s="54" t="s">
        <v>59</v>
      </c>
      <c r="B24" s="25"/>
      <c r="C24" s="25"/>
      <c r="D24" s="33">
        <f>TTCHUNG!C13</f>
        <v>0</v>
      </c>
      <c r="F24" s="25"/>
      <c r="G24" s="25"/>
      <c r="H24" s="25"/>
      <c r="I24" s="25"/>
      <c r="J24" s="25"/>
      <c r="L24" s="11"/>
      <c r="M24" s="11"/>
      <c r="N24" s="11"/>
      <c r="O24" s="11"/>
      <c r="P24" s="11"/>
    </row>
    <row r="25" spans="1:16" ht="19.5" customHeight="1" x14ac:dyDescent="0.3">
      <c r="A25" s="166" t="s">
        <v>75</v>
      </c>
      <c r="B25" s="166"/>
      <c r="C25" s="168" t="str">
        <f>TTCHUNG!C14</f>
        <v/>
      </c>
      <c r="D25" s="163"/>
      <c r="E25" s="163"/>
      <c r="F25" s="25"/>
      <c r="G25" s="25"/>
      <c r="H25" s="31"/>
      <c r="I25" s="31"/>
      <c r="J25" s="25"/>
      <c r="L25" s="11"/>
      <c r="M25" s="11"/>
      <c r="N25" s="11"/>
      <c r="O25" s="11"/>
      <c r="P25" s="11"/>
    </row>
    <row r="26" spans="1:16" x14ac:dyDescent="0.25">
      <c r="A26" s="51" t="s">
        <v>57</v>
      </c>
      <c r="B26" s="40"/>
      <c r="C26" s="40"/>
      <c r="D26" s="40"/>
      <c r="E26" s="164">
        <f>F19</f>
        <v>0</v>
      </c>
      <c r="F26" s="164"/>
      <c r="G26" s="40" t="s">
        <v>58</v>
      </c>
      <c r="H26" s="40"/>
      <c r="I26" s="40"/>
      <c r="J26" s="40"/>
      <c r="L26" s="11"/>
      <c r="M26" s="11"/>
      <c r="N26" s="11"/>
      <c r="O26" s="11"/>
      <c r="P26" s="11"/>
    </row>
    <row r="27" spans="1:16" s="55" customFormat="1" x14ac:dyDescent="0.3">
      <c r="A27" s="25" t="s">
        <v>61</v>
      </c>
      <c r="L27" s="11"/>
      <c r="M27" s="11"/>
      <c r="N27" s="11"/>
      <c r="O27" s="11"/>
      <c r="P27" s="11"/>
    </row>
    <row r="28" spans="1:16" s="55" customFormat="1" x14ac:dyDescent="0.3">
      <c r="A28" s="25"/>
      <c r="L28" s="11"/>
      <c r="M28" s="11"/>
      <c r="N28" s="11"/>
      <c r="O28" s="11"/>
      <c r="P28" s="11"/>
    </row>
    <row r="29" spans="1:16" x14ac:dyDescent="0.3">
      <c r="A29" s="167"/>
      <c r="B29" s="167"/>
      <c r="C29" s="167"/>
      <c r="D29" s="167"/>
      <c r="E29" s="167"/>
      <c r="F29" s="165" t="s">
        <v>60</v>
      </c>
      <c r="G29" s="165"/>
      <c r="H29" s="165"/>
      <c r="I29" s="165"/>
      <c r="J29" s="165"/>
    </row>
    <row r="30" spans="1:16" ht="18.75" customHeight="1" x14ac:dyDescent="0.3">
      <c r="A30" s="160"/>
      <c r="B30" s="160"/>
      <c r="C30" s="160"/>
      <c r="D30" s="160"/>
      <c r="E30" s="160"/>
      <c r="F30" s="160" t="s">
        <v>151</v>
      </c>
      <c r="G30" s="160"/>
      <c r="H30" s="160"/>
      <c r="I30" s="160"/>
      <c r="J30" s="160"/>
    </row>
    <row r="31" spans="1:16" x14ac:dyDescent="0.3">
      <c r="H31" s="27"/>
    </row>
    <row r="32" spans="1:16" x14ac:dyDescent="0.3">
      <c r="A32" s="24"/>
      <c r="H32" s="28"/>
    </row>
    <row r="33" spans="1:16" x14ac:dyDescent="0.3">
      <c r="A33" s="24"/>
      <c r="H33" s="28"/>
    </row>
    <row r="34" spans="1:16" x14ac:dyDescent="0.3">
      <c r="H34" s="28"/>
    </row>
    <row r="35" spans="1:16" x14ac:dyDescent="0.3">
      <c r="H35" s="26"/>
    </row>
    <row r="36" spans="1:16" x14ac:dyDescent="0.3">
      <c r="A36" s="29"/>
      <c r="F36" s="159" t="s">
        <v>171</v>
      </c>
      <c r="G36" s="159"/>
      <c r="H36" s="159"/>
      <c r="I36" s="159"/>
      <c r="J36" s="159"/>
    </row>
    <row r="40" spans="1:16" ht="13.5" customHeight="1" x14ac:dyDescent="0.3"/>
    <row r="43" spans="1:16" s="56" customFormat="1" x14ac:dyDescent="0.3">
      <c r="A43" s="38"/>
      <c r="L43" s="1"/>
      <c r="M43" s="1"/>
      <c r="N43" s="1"/>
      <c r="O43" s="1"/>
      <c r="P43" s="1"/>
    </row>
    <row r="44" spans="1:16" s="56" customFormat="1" x14ac:dyDescent="0.3">
      <c r="A44" s="38"/>
      <c r="L44" s="1"/>
      <c r="M44" s="1"/>
      <c r="N44" s="1"/>
      <c r="O44" s="1"/>
      <c r="P44" s="1"/>
    </row>
    <row r="50" spans="1:10" ht="18.75" customHeight="1" x14ac:dyDescent="0.3">
      <c r="A50" s="165" t="s">
        <v>62</v>
      </c>
      <c r="B50" s="165"/>
      <c r="C50" s="165"/>
      <c r="D50" s="165"/>
      <c r="E50" s="165"/>
      <c r="F50" s="165"/>
      <c r="G50" s="165"/>
      <c r="H50" s="165"/>
      <c r="I50" s="165"/>
      <c r="J50" s="165"/>
    </row>
    <row r="52" spans="1:10" x14ac:dyDescent="0.3">
      <c r="A52" s="159" t="s">
        <v>167</v>
      </c>
      <c r="B52" s="159"/>
      <c r="C52" s="159"/>
      <c r="D52" s="159"/>
      <c r="E52" s="159"/>
      <c r="F52" s="42" t="s">
        <v>12</v>
      </c>
      <c r="G52" s="163" t="s">
        <v>168</v>
      </c>
      <c r="H52" s="163"/>
      <c r="I52" s="21"/>
      <c r="J52" s="21"/>
    </row>
    <row r="53" spans="1:10" x14ac:dyDescent="0.3">
      <c r="A53" s="162" t="s">
        <v>63</v>
      </c>
      <c r="B53" s="162"/>
      <c r="C53" s="162"/>
      <c r="D53" s="25" t="s">
        <v>15</v>
      </c>
    </row>
    <row r="54" spans="1:10" x14ac:dyDescent="0.3">
      <c r="A54" s="162" t="s">
        <v>64</v>
      </c>
      <c r="B54" s="162"/>
      <c r="C54" s="162"/>
      <c r="D54" s="25" t="s">
        <v>172</v>
      </c>
    </row>
    <row r="55" spans="1:10" x14ac:dyDescent="0.3">
      <c r="A55" s="162" t="s">
        <v>150</v>
      </c>
      <c r="B55" s="162"/>
      <c r="C55" s="162"/>
      <c r="D55" s="162"/>
      <c r="E55" s="25" t="s">
        <v>66</v>
      </c>
    </row>
    <row r="56" spans="1:10" x14ac:dyDescent="0.3">
      <c r="A56" s="25" t="s">
        <v>65</v>
      </c>
      <c r="B56" s="25"/>
      <c r="C56" s="25"/>
      <c r="D56" s="25"/>
      <c r="E56" s="25"/>
    </row>
    <row r="57" spans="1:10" x14ac:dyDescent="0.3">
      <c r="A57" s="25" t="s">
        <v>67</v>
      </c>
    </row>
    <row r="58" spans="1:10" x14ac:dyDescent="0.3">
      <c r="A58" s="22" t="s">
        <v>68</v>
      </c>
      <c r="E58" s="58" t="str">
        <f>TTCHUNG!C4</f>
        <v>1610GP0925/225CO</v>
      </c>
    </row>
    <row r="59" spans="1:10" x14ac:dyDescent="0.3">
      <c r="A59" s="25" t="s">
        <v>69</v>
      </c>
    </row>
    <row r="60" spans="1:10" x14ac:dyDescent="0.3">
      <c r="A60" s="25" t="s">
        <v>71</v>
      </c>
    </row>
    <row r="61" spans="1:10" x14ac:dyDescent="0.3">
      <c r="A61" s="25" t="s">
        <v>70</v>
      </c>
      <c r="B61" s="59"/>
      <c r="F61" s="57"/>
    </row>
    <row r="62" spans="1:10" ht="21.95" customHeight="1" x14ac:dyDescent="0.3">
      <c r="A62" s="4" t="s">
        <v>72</v>
      </c>
    </row>
    <row r="63" spans="1:10" ht="21.95" customHeight="1" x14ac:dyDescent="0.3">
      <c r="A63" s="4" t="s">
        <v>72</v>
      </c>
    </row>
    <row r="64" spans="1:10" ht="21.95" customHeight="1" x14ac:dyDescent="0.3">
      <c r="A64" s="4" t="s">
        <v>72</v>
      </c>
    </row>
    <row r="65" spans="1:16" ht="21.95" customHeight="1" x14ac:dyDescent="0.3">
      <c r="A65" s="4" t="s">
        <v>72</v>
      </c>
    </row>
    <row r="66" spans="1:16" ht="21.95" customHeight="1" x14ac:dyDescent="0.3">
      <c r="A66" s="4" t="s">
        <v>72</v>
      </c>
    </row>
    <row r="67" spans="1:16" ht="21.95" customHeight="1" x14ac:dyDescent="0.3">
      <c r="A67" s="4" t="s">
        <v>72</v>
      </c>
    </row>
    <row r="68" spans="1:16" ht="21.95" customHeight="1" x14ac:dyDescent="0.3">
      <c r="A68" s="4" t="s">
        <v>72</v>
      </c>
    </row>
    <row r="69" spans="1:16" ht="21.95" customHeight="1" x14ac:dyDescent="0.3">
      <c r="A69" s="4" t="s">
        <v>72</v>
      </c>
    </row>
    <row r="70" spans="1:16" ht="21.95" customHeight="1" x14ac:dyDescent="0.3">
      <c r="A70" s="4" t="s">
        <v>72</v>
      </c>
    </row>
    <row r="71" spans="1:16" ht="21.95" customHeight="1" x14ac:dyDescent="0.3">
      <c r="A71" s="4" t="s">
        <v>72</v>
      </c>
    </row>
    <row r="72" spans="1:16" ht="21.95" customHeight="1" x14ac:dyDescent="0.3">
      <c r="A72" s="4" t="s">
        <v>72</v>
      </c>
    </row>
    <row r="73" spans="1:16" ht="21.95" customHeight="1" x14ac:dyDescent="0.3">
      <c r="A73" s="4" t="s">
        <v>72</v>
      </c>
    </row>
    <row r="74" spans="1:16" ht="21.95" customHeight="1" x14ac:dyDescent="0.3">
      <c r="A74" s="4" t="s">
        <v>72</v>
      </c>
    </row>
    <row r="76" spans="1:16" s="22" customFormat="1" x14ac:dyDescent="0.3">
      <c r="A76" s="159" t="s">
        <v>152</v>
      </c>
      <c r="B76" s="159"/>
      <c r="C76" s="159"/>
      <c r="D76" s="159"/>
      <c r="E76" s="159"/>
      <c r="F76" s="159" t="s">
        <v>73</v>
      </c>
      <c r="G76" s="159"/>
      <c r="H76" s="159"/>
      <c r="I76" s="159"/>
      <c r="J76" s="159"/>
      <c r="L76" s="1"/>
      <c r="M76" s="1"/>
      <c r="N76" s="1"/>
      <c r="O76" s="1"/>
      <c r="P76" s="1"/>
    </row>
    <row r="77" spans="1:16" s="60" customFormat="1" x14ac:dyDescent="0.3">
      <c r="A77" s="160" t="s">
        <v>151</v>
      </c>
      <c r="B77" s="160"/>
      <c r="C77" s="160"/>
      <c r="D77" s="160"/>
      <c r="E77" s="160"/>
      <c r="F77" s="161" t="s">
        <v>23</v>
      </c>
      <c r="G77" s="161"/>
      <c r="H77" s="161"/>
      <c r="I77" s="161"/>
      <c r="J77" s="161"/>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row r="81" spans="12:16" s="22" customFormat="1" x14ac:dyDescent="0.3">
      <c r="L81" s="1"/>
      <c r="M81" s="1"/>
      <c r="N81" s="1"/>
      <c r="O81" s="1"/>
      <c r="P81" s="1"/>
    </row>
    <row r="82" spans="12:16" s="22" customFormat="1" x14ac:dyDescent="0.3">
      <c r="L82" s="1"/>
      <c r="M82" s="1"/>
      <c r="N82" s="1"/>
      <c r="O82" s="1"/>
      <c r="P82" s="1"/>
    </row>
    <row r="83" spans="12:16" s="22" customFormat="1" x14ac:dyDescent="0.3">
      <c r="L83" s="1"/>
      <c r="M83" s="1"/>
      <c r="N83" s="1"/>
      <c r="O83" s="1"/>
      <c r="P83" s="1"/>
    </row>
    <row r="84" spans="12:16" s="22" customFormat="1" x14ac:dyDescent="0.3">
      <c r="L84" s="1"/>
      <c r="M84" s="1"/>
      <c r="N84" s="1"/>
      <c r="O84" s="1"/>
      <c r="P84" s="1"/>
    </row>
  </sheetData>
  <mergeCells count="38">
    <mergeCell ref="A7:D7"/>
    <mergeCell ref="E7:J7"/>
    <mergeCell ref="A4:D4"/>
    <mergeCell ref="E4:J4"/>
    <mergeCell ref="A5:D5"/>
    <mergeCell ref="E5:J5"/>
    <mergeCell ref="A6:D6"/>
    <mergeCell ref="C25:E25"/>
    <mergeCell ref="A9:J9"/>
    <mergeCell ref="A15:J15"/>
    <mergeCell ref="A16:J16"/>
    <mergeCell ref="A17:J17"/>
    <mergeCell ref="A18:J18"/>
    <mergeCell ref="A13:B13"/>
    <mergeCell ref="A14:J14"/>
    <mergeCell ref="A12:D12"/>
    <mergeCell ref="B10:I10"/>
    <mergeCell ref="A52:E52"/>
    <mergeCell ref="G52:H52"/>
    <mergeCell ref="A53:C53"/>
    <mergeCell ref="A54:C54"/>
    <mergeCell ref="A20:B20"/>
    <mergeCell ref="E26:F26"/>
    <mergeCell ref="F30:J30"/>
    <mergeCell ref="A50:J50"/>
    <mergeCell ref="A30:E30"/>
    <mergeCell ref="H22:I22"/>
    <mergeCell ref="A29:E29"/>
    <mergeCell ref="F29:J29"/>
    <mergeCell ref="A22:C22"/>
    <mergeCell ref="A23:C23"/>
    <mergeCell ref="A25:B25"/>
    <mergeCell ref="F36:J36"/>
    <mergeCell ref="A76:E76"/>
    <mergeCell ref="F76:J76"/>
    <mergeCell ref="A77:E77"/>
    <mergeCell ref="F77:J77"/>
    <mergeCell ref="A55:D55"/>
  </mergeCells>
  <printOptions horizontalCentered="1" verticalCentered="1"/>
  <pageMargins left="0.7" right="0.25" top="0" bottom="0.2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P80"/>
  <sheetViews>
    <sheetView view="pageBreakPreview" topLeftCell="A4" zoomScaleNormal="100" zoomScaleSheetLayoutView="100" workbookViewId="0">
      <selection activeCell="D12" sqref="D12"/>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7.25" x14ac:dyDescent="0.25">
      <c r="A3" s="173" t="s">
        <v>43</v>
      </c>
      <c r="B3" s="173"/>
      <c r="C3" s="173"/>
      <c r="D3" s="173"/>
      <c r="E3" s="174" t="s">
        <v>17</v>
      </c>
      <c r="F3" s="174"/>
      <c r="G3" s="174"/>
      <c r="H3" s="174"/>
      <c r="I3" s="174"/>
      <c r="J3" s="174"/>
      <c r="L3" s="11"/>
      <c r="M3" s="11"/>
      <c r="N3" s="11"/>
      <c r="O3" s="11"/>
      <c r="P3" s="11"/>
    </row>
    <row r="4" spans="1:16" ht="17.25" x14ac:dyDescent="0.25">
      <c r="A4" s="175" t="s">
        <v>44</v>
      </c>
      <c r="B4" s="175"/>
      <c r="C4" s="175"/>
      <c r="D4" s="175"/>
      <c r="E4" s="174" t="s">
        <v>161</v>
      </c>
      <c r="F4" s="174"/>
      <c r="G4" s="174"/>
      <c r="H4" s="174"/>
      <c r="I4" s="174"/>
      <c r="J4" s="174"/>
      <c r="L4" s="3"/>
      <c r="M4" s="3"/>
      <c r="N4" s="3"/>
      <c r="O4" s="3"/>
      <c r="P4" s="3"/>
    </row>
    <row r="5" spans="1:16" x14ac:dyDescent="0.3">
      <c r="A5" s="159"/>
      <c r="B5" s="159"/>
      <c r="C5" s="159"/>
      <c r="D5" s="159"/>
      <c r="L5" s="11"/>
      <c r="M5" s="11"/>
      <c r="N5" s="11"/>
      <c r="O5" s="11"/>
      <c r="P5" s="11"/>
    </row>
    <row r="6" spans="1:16" x14ac:dyDescent="0.3">
      <c r="A6" s="162"/>
      <c r="B6" s="162"/>
      <c r="C6" s="162"/>
      <c r="D6" s="162"/>
      <c r="E6" s="172" t="s">
        <v>219</v>
      </c>
      <c r="F6" s="172"/>
      <c r="G6" s="172"/>
      <c r="H6" s="172"/>
      <c r="I6" s="172"/>
      <c r="J6" s="172"/>
      <c r="L6" s="11"/>
      <c r="M6" s="11"/>
      <c r="N6" s="11"/>
      <c r="O6" s="11"/>
      <c r="P6" s="11"/>
    </row>
    <row r="7" spans="1:16" x14ac:dyDescent="0.3">
      <c r="A7" s="42"/>
      <c r="B7" s="42"/>
      <c r="C7" s="42"/>
      <c r="D7" s="42"/>
      <c r="E7" s="43"/>
      <c r="F7" s="43"/>
      <c r="G7" s="43"/>
      <c r="H7" s="43"/>
      <c r="I7" s="43"/>
      <c r="J7" s="43"/>
      <c r="L7" s="11"/>
      <c r="M7" s="11"/>
      <c r="N7" s="11"/>
      <c r="O7" s="11"/>
      <c r="P7" s="11"/>
    </row>
    <row r="8" spans="1:16" x14ac:dyDescent="0.25">
      <c r="A8" s="169" t="s">
        <v>30</v>
      </c>
      <c r="B8" s="169"/>
      <c r="C8" s="169"/>
      <c r="D8" s="169"/>
      <c r="E8" s="169"/>
      <c r="F8" s="169"/>
      <c r="G8" s="169"/>
      <c r="H8" s="169"/>
      <c r="I8" s="169"/>
      <c r="J8" s="169"/>
      <c r="L8" s="11"/>
      <c r="M8" s="11"/>
      <c r="N8" s="11"/>
      <c r="O8" s="11"/>
      <c r="P8" s="11"/>
    </row>
    <row r="9" spans="1:16" ht="22.5" customHeight="1" x14ac:dyDescent="0.3">
      <c r="A9" s="21"/>
      <c r="B9" s="159" t="s">
        <v>74</v>
      </c>
      <c r="C9" s="159"/>
      <c r="D9" s="159"/>
      <c r="E9" s="159"/>
      <c r="F9" s="159"/>
      <c r="G9" s="159"/>
      <c r="H9" s="159"/>
      <c r="I9" s="159"/>
      <c r="J9" s="21"/>
      <c r="L9" s="11"/>
      <c r="M9" s="11"/>
      <c r="N9" s="11"/>
      <c r="O9" s="11"/>
      <c r="P9" s="11"/>
    </row>
    <row r="10" spans="1:16" x14ac:dyDescent="0.25">
      <c r="A10" s="44"/>
      <c r="B10" s="44"/>
      <c r="C10" s="44"/>
      <c r="D10" s="44"/>
      <c r="E10" s="44"/>
      <c r="F10" s="44"/>
      <c r="G10" s="44"/>
      <c r="H10" s="44"/>
      <c r="I10" s="44"/>
      <c r="J10" s="44"/>
      <c r="L10" s="11"/>
      <c r="M10" s="11"/>
      <c r="N10" s="11"/>
      <c r="O10" s="11"/>
      <c r="P10" s="11"/>
    </row>
    <row r="11" spans="1:16" x14ac:dyDescent="0.3">
      <c r="A11" s="162" t="s">
        <v>163</v>
      </c>
      <c r="B11" s="159"/>
      <c r="C11" s="159"/>
      <c r="D11" s="159"/>
      <c r="E11" s="22"/>
      <c r="F11" s="21"/>
      <c r="G11" s="21"/>
      <c r="H11" s="21"/>
      <c r="I11" s="21"/>
      <c r="J11" s="21"/>
      <c r="L11" s="11"/>
      <c r="M11" s="11"/>
      <c r="N11" s="11"/>
      <c r="O11" s="11"/>
      <c r="P11" s="11"/>
    </row>
    <row r="12" spans="1:16" x14ac:dyDescent="0.3">
      <c r="A12" s="162" t="s">
        <v>55</v>
      </c>
      <c r="B12" s="162"/>
      <c r="C12" s="25" t="s">
        <v>155</v>
      </c>
      <c r="F12" s="31" t="s">
        <v>13</v>
      </c>
      <c r="G12" s="25" t="s">
        <v>164</v>
      </c>
      <c r="H12" s="25"/>
      <c r="I12" s="25"/>
      <c r="J12" s="25"/>
      <c r="L12" s="11"/>
      <c r="M12" s="11"/>
      <c r="N12" s="11"/>
      <c r="O12" s="11"/>
      <c r="P12" s="11"/>
    </row>
    <row r="13" spans="1:16" ht="36.75" customHeight="1" x14ac:dyDescent="0.25">
      <c r="A13" s="170" t="s">
        <v>147</v>
      </c>
      <c r="B13" s="170"/>
      <c r="C13" s="170"/>
      <c r="D13" s="170"/>
      <c r="E13" s="170"/>
      <c r="F13" s="170"/>
      <c r="G13" s="170"/>
      <c r="H13" s="170"/>
      <c r="I13" s="170"/>
      <c r="J13" s="170"/>
      <c r="L13" s="11"/>
      <c r="M13" s="11"/>
      <c r="N13" s="11"/>
      <c r="O13" s="11"/>
      <c r="P13" s="11"/>
    </row>
    <row r="14" spans="1:16" x14ac:dyDescent="0.25">
      <c r="A14" s="170" t="s">
        <v>148</v>
      </c>
      <c r="B14" s="170"/>
      <c r="C14" s="170"/>
      <c r="D14" s="170"/>
      <c r="E14" s="170"/>
      <c r="F14" s="170"/>
      <c r="G14" s="170"/>
      <c r="H14" s="170"/>
      <c r="I14" s="170"/>
      <c r="J14" s="170"/>
      <c r="L14" s="11"/>
      <c r="M14" s="11"/>
      <c r="N14" s="11"/>
      <c r="O14" s="11"/>
      <c r="P14" s="11"/>
    </row>
    <row r="15" spans="1:16" x14ac:dyDescent="0.25">
      <c r="A15" s="170" t="s">
        <v>149</v>
      </c>
      <c r="B15" s="170"/>
      <c r="C15" s="170"/>
      <c r="D15" s="170"/>
      <c r="E15" s="170"/>
      <c r="F15" s="170"/>
      <c r="G15" s="170"/>
      <c r="H15" s="170"/>
      <c r="I15" s="170"/>
      <c r="J15" s="170"/>
      <c r="L15" s="11"/>
      <c r="M15" s="11"/>
      <c r="N15" s="11"/>
      <c r="O15" s="11"/>
      <c r="P15" s="11"/>
    </row>
    <row r="16" spans="1:16" ht="38.25" customHeight="1" x14ac:dyDescent="0.25">
      <c r="A16" s="169" t="s">
        <v>30</v>
      </c>
      <c r="B16" s="169"/>
      <c r="C16" s="169"/>
      <c r="D16" s="169"/>
      <c r="E16" s="169"/>
      <c r="F16" s="169"/>
      <c r="G16" s="169"/>
      <c r="H16" s="169"/>
      <c r="I16" s="169"/>
      <c r="J16" s="169"/>
      <c r="L16" s="11"/>
      <c r="M16" s="11"/>
      <c r="N16" s="11"/>
      <c r="O16" s="11"/>
      <c r="P16" s="11"/>
    </row>
    <row r="17" spans="1:16" x14ac:dyDescent="0.25">
      <c r="A17" s="51" t="s">
        <v>56</v>
      </c>
      <c r="B17" s="51"/>
      <c r="C17" s="51"/>
      <c r="D17" s="51"/>
      <c r="E17" s="51"/>
      <c r="F17" s="51" t="str">
        <f>TTCHUNG!C5</f>
        <v>Trần Văn Dương</v>
      </c>
      <c r="G17" s="51"/>
      <c r="H17" s="51"/>
      <c r="I17" s="51"/>
      <c r="J17" s="51"/>
      <c r="L17" s="11"/>
      <c r="M17" s="11"/>
      <c r="N17" s="11"/>
      <c r="O17" s="11"/>
      <c r="P17" s="11"/>
    </row>
    <row r="18" spans="1:16" x14ac:dyDescent="0.3">
      <c r="A18" s="162" t="s">
        <v>54</v>
      </c>
      <c r="B18" s="162"/>
      <c r="C18" s="25" t="str">
        <f>TTCHUNG!D26</f>
        <v>Đại uý</v>
      </c>
      <c r="E18" s="53" t="s">
        <v>13</v>
      </c>
      <c r="F18" s="40" t="str">
        <f>TTCHUNG!D27</f>
        <v>Cán bộ</v>
      </c>
      <c r="H18" s="53" t="s">
        <v>51</v>
      </c>
      <c r="I18" s="107" t="s">
        <v>166</v>
      </c>
      <c r="J18" s="51"/>
      <c r="L18" s="11"/>
      <c r="M18" s="11"/>
      <c r="N18" s="11"/>
      <c r="O18" s="11"/>
      <c r="P18" s="11"/>
    </row>
    <row r="19" spans="1:16" x14ac:dyDescent="0.3">
      <c r="A19" s="31" t="s">
        <v>52</v>
      </c>
      <c r="B19" s="22" t="s">
        <v>158</v>
      </c>
      <c r="C19" s="52"/>
      <c r="E19" s="53"/>
      <c r="F19" s="40"/>
      <c r="H19" s="53"/>
      <c r="I19" s="40"/>
      <c r="J19" s="51"/>
      <c r="L19" s="11"/>
      <c r="M19" s="11"/>
      <c r="N19" s="11"/>
      <c r="O19" s="11"/>
      <c r="P19" s="11"/>
    </row>
    <row r="20" spans="1:16" x14ac:dyDescent="0.3">
      <c r="A20" s="162" t="s">
        <v>20</v>
      </c>
      <c r="B20" s="162"/>
      <c r="C20" s="162"/>
      <c r="D20" s="151">
        <f>TTCHUNG!C7</f>
        <v>0</v>
      </c>
      <c r="G20" s="25"/>
      <c r="H20" s="166" t="s">
        <v>22</v>
      </c>
      <c r="I20" s="166"/>
      <c r="J20" s="81" t="str">
        <f>TTCHUNG!C9</f>
        <v/>
      </c>
    </row>
    <row r="21" spans="1:16" x14ac:dyDescent="0.3">
      <c r="A21" s="162" t="s">
        <v>53</v>
      </c>
      <c r="B21" s="162"/>
      <c r="C21" s="162"/>
      <c r="D21" s="25">
        <f>TTCHUNG!C11</f>
        <v>0</v>
      </c>
      <c r="E21" s="25"/>
      <c r="F21" s="25"/>
      <c r="G21" s="25"/>
      <c r="H21" s="25"/>
      <c r="I21" s="25"/>
      <c r="J21" s="25"/>
    </row>
    <row r="22" spans="1:16" ht="19.5" x14ac:dyDescent="0.35">
      <c r="A22" s="54" t="s">
        <v>218</v>
      </c>
      <c r="B22" s="25"/>
      <c r="C22" s="25"/>
      <c r="D22" s="33">
        <f>TTCHUNG!C13</f>
        <v>0</v>
      </c>
      <c r="F22" s="25"/>
      <c r="G22" s="25"/>
      <c r="H22" s="25"/>
      <c r="I22" s="25"/>
      <c r="J22" s="25"/>
      <c r="L22" s="11"/>
      <c r="M22" s="11"/>
      <c r="N22" s="11"/>
      <c r="O22" s="11"/>
      <c r="P22" s="11"/>
    </row>
    <row r="23" spans="1:16" ht="19.5" customHeight="1" x14ac:dyDescent="0.3">
      <c r="A23" s="166" t="s">
        <v>75</v>
      </c>
      <c r="B23" s="166"/>
      <c r="C23" s="168" t="str">
        <f>TTCHUNG!C14</f>
        <v/>
      </c>
      <c r="D23" s="163"/>
      <c r="E23" s="163"/>
      <c r="F23" s="25"/>
      <c r="G23" s="25"/>
      <c r="H23" s="31"/>
      <c r="I23" s="31"/>
      <c r="J23" s="25"/>
      <c r="L23" s="11"/>
      <c r="M23" s="11"/>
      <c r="N23" s="11"/>
      <c r="O23" s="11"/>
      <c r="P23" s="11"/>
    </row>
    <row r="24" spans="1:16" x14ac:dyDescent="0.25">
      <c r="A24" s="51" t="s">
        <v>57</v>
      </c>
      <c r="B24" s="40"/>
      <c r="C24" s="40"/>
      <c r="D24" s="40"/>
      <c r="E24" s="176" t="str">
        <f>F17</f>
        <v>Trần Văn Dương</v>
      </c>
      <c r="F24" s="176"/>
      <c r="G24" s="40" t="s">
        <v>58</v>
      </c>
      <c r="H24" s="40"/>
      <c r="I24" s="40"/>
      <c r="J24" s="40"/>
      <c r="L24" s="11"/>
      <c r="M24" s="11"/>
      <c r="N24" s="11"/>
      <c r="O24" s="11"/>
      <c r="P24" s="11"/>
    </row>
    <row r="25" spans="1:16" s="55" customFormat="1" x14ac:dyDescent="0.3">
      <c r="A25" s="25" t="s">
        <v>61</v>
      </c>
      <c r="L25" s="11"/>
      <c r="M25" s="11"/>
      <c r="N25" s="11"/>
      <c r="O25" s="11"/>
      <c r="P25" s="11"/>
    </row>
    <row r="26" spans="1:16" s="55" customFormat="1" x14ac:dyDescent="0.3">
      <c r="A26" s="25"/>
      <c r="L26" s="11"/>
      <c r="M26" s="11"/>
      <c r="N26" s="11"/>
      <c r="O26" s="11"/>
      <c r="P26" s="11"/>
    </row>
    <row r="27" spans="1:16" x14ac:dyDescent="0.3">
      <c r="A27" s="167"/>
      <c r="B27" s="167"/>
      <c r="C27" s="167"/>
      <c r="D27" s="167"/>
      <c r="E27" s="167"/>
      <c r="F27" s="165" t="s">
        <v>60</v>
      </c>
      <c r="G27" s="165"/>
      <c r="H27" s="165"/>
      <c r="I27" s="165"/>
      <c r="J27" s="165"/>
    </row>
    <row r="28" spans="1:16" ht="18.75" customHeight="1" x14ac:dyDescent="0.3">
      <c r="A28" s="160"/>
      <c r="B28" s="160"/>
      <c r="C28" s="160"/>
      <c r="D28" s="160"/>
      <c r="E28" s="160"/>
      <c r="F28" s="160" t="s">
        <v>151</v>
      </c>
      <c r="G28" s="160"/>
      <c r="H28" s="160"/>
      <c r="I28" s="160"/>
      <c r="J28" s="160"/>
    </row>
    <row r="29" spans="1:16" x14ac:dyDescent="0.3">
      <c r="H29" s="27"/>
    </row>
    <row r="30" spans="1:16" x14ac:dyDescent="0.3">
      <c r="A30" s="24"/>
      <c r="H30" s="28"/>
    </row>
    <row r="31" spans="1:16" x14ac:dyDescent="0.3">
      <c r="A31" s="24"/>
      <c r="H31" s="28"/>
    </row>
    <row r="32" spans="1:16" x14ac:dyDescent="0.3">
      <c r="H32" s="28"/>
    </row>
    <row r="33" spans="1:16" x14ac:dyDescent="0.3">
      <c r="H33" s="26"/>
    </row>
    <row r="34" spans="1:16" x14ac:dyDescent="0.3">
      <c r="A34" s="29"/>
      <c r="F34" s="159" t="s">
        <v>171</v>
      </c>
      <c r="G34" s="159"/>
      <c r="H34" s="159"/>
      <c r="I34" s="159"/>
      <c r="J34" s="159"/>
    </row>
    <row r="35" spans="1:16" x14ac:dyDescent="0.3">
      <c r="A35" s="29"/>
    </row>
    <row r="39" spans="1:16" ht="13.5" customHeight="1" x14ac:dyDescent="0.3"/>
    <row r="42" spans="1:16" s="56" customFormat="1" x14ac:dyDescent="0.3">
      <c r="A42" s="38"/>
      <c r="L42" s="1"/>
      <c r="M42" s="1"/>
      <c r="N42" s="1"/>
      <c r="O42" s="1"/>
      <c r="P42" s="1"/>
    </row>
    <row r="43" spans="1:16" s="56" customFormat="1" x14ac:dyDescent="0.3">
      <c r="A43" s="38"/>
      <c r="L43" s="1"/>
      <c r="M43" s="1"/>
      <c r="N43" s="1"/>
      <c r="O43" s="1"/>
      <c r="P43" s="1"/>
    </row>
    <row r="46" spans="1:16" ht="18.75" customHeight="1" x14ac:dyDescent="0.3">
      <c r="A46" s="165"/>
      <c r="B46" s="165"/>
      <c r="C46" s="165"/>
      <c r="D46" s="165"/>
      <c r="E46" s="165"/>
      <c r="F46" s="165"/>
      <c r="G46" s="165"/>
      <c r="H46" s="165"/>
      <c r="I46" s="165"/>
      <c r="J46" s="165"/>
    </row>
    <row r="48" spans="1:16" x14ac:dyDescent="0.3">
      <c r="A48" s="159"/>
      <c r="B48" s="159"/>
      <c r="C48" s="159"/>
      <c r="D48" s="159"/>
      <c r="E48" s="159"/>
      <c r="F48" s="42"/>
      <c r="G48" s="163"/>
      <c r="H48" s="163"/>
      <c r="I48" s="21"/>
      <c r="J48" s="21"/>
    </row>
    <row r="49" spans="1:6" x14ac:dyDescent="0.3">
      <c r="A49" s="162"/>
      <c r="B49" s="162"/>
      <c r="C49" s="162"/>
      <c r="D49" s="25"/>
    </row>
    <row r="50" spans="1:6" x14ac:dyDescent="0.3">
      <c r="A50" s="162"/>
      <c r="B50" s="162"/>
      <c r="C50" s="162"/>
      <c r="D50" s="25"/>
    </row>
    <row r="51" spans="1:6" x14ac:dyDescent="0.3">
      <c r="A51" s="162"/>
      <c r="B51" s="162"/>
      <c r="C51" s="162"/>
      <c r="D51" s="162"/>
      <c r="E51" s="25"/>
    </row>
    <row r="52" spans="1:6" x14ac:dyDescent="0.3">
      <c r="A52" s="25"/>
      <c r="B52" s="25"/>
      <c r="C52" s="25"/>
      <c r="D52" s="25"/>
      <c r="E52" s="25"/>
    </row>
    <row r="53" spans="1:6" x14ac:dyDescent="0.3">
      <c r="A53" s="25"/>
    </row>
    <row r="54" spans="1:6" x14ac:dyDescent="0.3">
      <c r="A54" s="22"/>
      <c r="E54" s="58"/>
    </row>
    <row r="55" spans="1:6" x14ac:dyDescent="0.3">
      <c r="A55" s="25"/>
    </row>
    <row r="56" spans="1:6" x14ac:dyDescent="0.3">
      <c r="A56" s="25"/>
    </row>
    <row r="57" spans="1:6" x14ac:dyDescent="0.3">
      <c r="A57" s="25"/>
      <c r="B57" s="59"/>
      <c r="F57" s="57"/>
    </row>
    <row r="58" spans="1:6" ht="21.95" customHeight="1" x14ac:dyDescent="0.3">
      <c r="A58" s="4"/>
    </row>
    <row r="59" spans="1:6" ht="21.95" customHeight="1" x14ac:dyDescent="0.3">
      <c r="A59" s="4"/>
    </row>
    <row r="60" spans="1:6" ht="21.95" customHeight="1" x14ac:dyDescent="0.3">
      <c r="A60" s="4"/>
    </row>
    <row r="61" spans="1:6" ht="21.95" customHeight="1" x14ac:dyDescent="0.3">
      <c r="A61" s="4"/>
    </row>
    <row r="62" spans="1:6" ht="21.95" customHeight="1" x14ac:dyDescent="0.3">
      <c r="A62" s="4"/>
    </row>
    <row r="63" spans="1:6" ht="21.95" customHeight="1" x14ac:dyDescent="0.3">
      <c r="A63" s="4"/>
    </row>
    <row r="64" spans="1:6" ht="21.95" customHeight="1" x14ac:dyDescent="0.3">
      <c r="A64" s="4"/>
    </row>
    <row r="65" spans="1:16" ht="21.95" customHeight="1" x14ac:dyDescent="0.3">
      <c r="A65" s="4"/>
    </row>
    <row r="66" spans="1:16" ht="21.95" customHeight="1" x14ac:dyDescent="0.3">
      <c r="A66" s="4"/>
    </row>
    <row r="67" spans="1:16" ht="21.95" customHeight="1" x14ac:dyDescent="0.3">
      <c r="A67" s="4"/>
    </row>
    <row r="68" spans="1:16" ht="21.95" customHeight="1" x14ac:dyDescent="0.3">
      <c r="A68" s="4"/>
    </row>
    <row r="69" spans="1:16" ht="21.95" customHeight="1" x14ac:dyDescent="0.3">
      <c r="A69" s="4"/>
    </row>
    <row r="70" spans="1:16" ht="21.95" customHeight="1" x14ac:dyDescent="0.3">
      <c r="A70" s="4"/>
    </row>
    <row r="72" spans="1:16" s="22" customFormat="1" x14ac:dyDescent="0.3">
      <c r="A72" s="159"/>
      <c r="B72" s="159"/>
      <c r="C72" s="159"/>
      <c r="D72" s="159"/>
      <c r="E72" s="159"/>
      <c r="F72" s="159"/>
      <c r="G72" s="159"/>
      <c r="H72" s="159"/>
      <c r="I72" s="159"/>
      <c r="J72" s="159"/>
      <c r="L72" s="1"/>
      <c r="M72" s="1"/>
      <c r="N72" s="1"/>
      <c r="O72" s="1"/>
      <c r="P72" s="1"/>
    </row>
    <row r="73" spans="1:16" s="60" customFormat="1" x14ac:dyDescent="0.3">
      <c r="A73" s="160"/>
      <c r="B73" s="160"/>
      <c r="C73" s="160"/>
      <c r="D73" s="160"/>
      <c r="E73" s="160"/>
      <c r="F73" s="161"/>
      <c r="G73" s="161"/>
      <c r="H73" s="161"/>
      <c r="I73" s="161"/>
      <c r="J73" s="161"/>
      <c r="L73" s="1"/>
      <c r="M73" s="1"/>
      <c r="N73" s="1"/>
      <c r="O73" s="1"/>
      <c r="P73" s="1"/>
    </row>
    <row r="74" spans="1:16" s="22" customFormat="1" x14ac:dyDescent="0.3">
      <c r="L74" s="1"/>
      <c r="M74" s="1"/>
      <c r="N74" s="1"/>
      <c r="O74" s="1"/>
      <c r="P74" s="1"/>
    </row>
    <row r="75" spans="1:16" s="22" customFormat="1" x14ac:dyDescent="0.3">
      <c r="L75" s="1"/>
      <c r="M75" s="1"/>
      <c r="N75" s="1"/>
      <c r="O75" s="1"/>
      <c r="P75" s="1"/>
    </row>
    <row r="76" spans="1:16" s="22" customFormat="1" x14ac:dyDescent="0.3">
      <c r="L76" s="1"/>
      <c r="M76" s="1"/>
      <c r="N76" s="1"/>
      <c r="O76" s="1"/>
      <c r="P76" s="1"/>
    </row>
    <row r="77" spans="1:16" s="22" customFormat="1" x14ac:dyDescent="0.3">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sheetData>
  <mergeCells count="37">
    <mergeCell ref="A50:C50"/>
    <mergeCell ref="A51:D51"/>
    <mergeCell ref="A72:E72"/>
    <mergeCell ref="F72:J72"/>
    <mergeCell ref="A73:E73"/>
    <mergeCell ref="F73:J73"/>
    <mergeCell ref="A49:C49"/>
    <mergeCell ref="A21:C21"/>
    <mergeCell ref="A23:B23"/>
    <mergeCell ref="C23:E23"/>
    <mergeCell ref="E24:F24"/>
    <mergeCell ref="A27:E27"/>
    <mergeCell ref="F27:J27"/>
    <mergeCell ref="F34:J34"/>
    <mergeCell ref="A28:E28"/>
    <mergeCell ref="F28:J28"/>
    <mergeCell ref="A46:J46"/>
    <mergeCell ref="A48:E48"/>
    <mergeCell ref="G48:H48"/>
    <mergeCell ref="A15:J15"/>
    <mergeCell ref="A16:J16"/>
    <mergeCell ref="A18:B18"/>
    <mergeCell ref="A20:C20"/>
    <mergeCell ref="H20:I20"/>
    <mergeCell ref="A14:J14"/>
    <mergeCell ref="A3:D3"/>
    <mergeCell ref="E3:J3"/>
    <mergeCell ref="A4:D4"/>
    <mergeCell ref="E4:J4"/>
    <mergeCell ref="A5:D5"/>
    <mergeCell ref="A6:D6"/>
    <mergeCell ref="E6:J6"/>
    <mergeCell ref="A8:J8"/>
    <mergeCell ref="B9:I9"/>
    <mergeCell ref="A11:D11"/>
    <mergeCell ref="A12:B12"/>
    <mergeCell ref="A13:J13"/>
  </mergeCells>
  <printOptions horizontalCentered="1" verticalCentered="1"/>
  <pageMargins left="0.7" right="0.25" top="0" bottom="0.25" header="0.3" footer="0.3"/>
  <pageSetup paperSize="9" orientation="portrait" r:id="rId1"/>
  <colBreaks count="1" manualBreakCount="1">
    <brk id="10" max="9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view="pageBreakPreview" zoomScaleNormal="100" zoomScaleSheetLayoutView="100" workbookViewId="0">
      <pane ySplit="2" topLeftCell="A15" activePane="bottomLeft" state="frozen"/>
      <selection pane="bottomLeft" activeCell="B20" sqref="B20"/>
    </sheetView>
  </sheetViews>
  <sheetFormatPr defaultColWidth="9.140625" defaultRowHeight="18.75" x14ac:dyDescent="0.3"/>
  <cols>
    <col min="1" max="1" width="9.140625" style="1"/>
    <col min="2" max="2" width="24.5703125" style="1" customWidth="1"/>
    <col min="3" max="3" width="20.85546875" style="1" customWidth="1"/>
    <col min="4" max="4" width="20.85546875" style="1" bestFit="1" customWidth="1"/>
    <col min="5" max="5" width="18.5703125" style="1" customWidth="1"/>
    <col min="6" max="7" width="22.85546875" style="1" customWidth="1"/>
    <col min="8" max="16384" width="9.140625" style="1"/>
  </cols>
  <sheetData>
    <row r="1" spans="1:15" ht="11.25" customHeight="1" x14ac:dyDescent="0.3"/>
    <row r="2" spans="1:15" ht="22.5" x14ac:dyDescent="0.3">
      <c r="A2" s="177" t="s">
        <v>0</v>
      </c>
      <c r="B2" s="177"/>
      <c r="C2" s="177"/>
      <c r="D2" s="177"/>
      <c r="E2" s="177"/>
      <c r="F2" s="177"/>
      <c r="G2" s="177"/>
    </row>
    <row r="3" spans="1:15" ht="9" customHeight="1" x14ac:dyDescent="0.3"/>
    <row r="4" spans="1:15" s="11" customFormat="1" ht="16.5" x14ac:dyDescent="0.25">
      <c r="A4" s="181" t="s">
        <v>11</v>
      </c>
      <c r="B4" s="181"/>
      <c r="C4" s="154" t="s">
        <v>224</v>
      </c>
      <c r="F4" s="3" t="str">
        <f>LEFT(C4,15)</f>
        <v>1610GP0925/225C</v>
      </c>
    </row>
    <row r="5" spans="1:15" s="11" customFormat="1" ht="16.5" x14ac:dyDescent="0.25">
      <c r="A5" s="182" t="s">
        <v>1</v>
      </c>
      <c r="B5" s="182"/>
      <c r="C5" s="15" t="s">
        <v>16</v>
      </c>
      <c r="D5" s="3" t="str">
        <f>UPPER(C5)</f>
        <v>TRẦN VĂN DƯƠNG</v>
      </c>
      <c r="E5" s="3"/>
      <c r="F5" s="3"/>
      <c r="G5" s="3"/>
      <c r="H5" s="3"/>
      <c r="I5" s="3"/>
      <c r="J5" s="3"/>
      <c r="K5" s="3"/>
      <c r="L5" s="3"/>
      <c r="M5" s="3"/>
      <c r="N5" s="3"/>
      <c r="O5" s="3"/>
    </row>
    <row r="6" spans="1:15" s="11" customFormat="1" ht="16.5" x14ac:dyDescent="0.25"/>
    <row r="7" spans="1:15" s="11" customFormat="1" ht="16.5" x14ac:dyDescent="0.25">
      <c r="B7" s="16" t="s">
        <v>2</v>
      </c>
      <c r="C7" s="153"/>
      <c r="D7" s="41" t="str">
        <f>PROPER(C7)</f>
        <v/>
      </c>
      <c r="E7" s="16"/>
      <c r="F7" s="16"/>
      <c r="G7" s="16"/>
    </row>
    <row r="8" spans="1:15" s="11" customFormat="1" ht="16.5" x14ac:dyDescent="0.25">
      <c r="B8" s="16" t="s">
        <v>3</v>
      </c>
      <c r="C8" s="130"/>
      <c r="D8" s="16"/>
      <c r="E8" s="16"/>
      <c r="F8" s="16"/>
      <c r="G8" s="16"/>
    </row>
    <row r="9" spans="1:15" s="11" customFormat="1" ht="16.5" x14ac:dyDescent="0.25">
      <c r="B9" s="16" t="s">
        <v>22</v>
      </c>
      <c r="C9" s="150" t="s">
        <v>226</v>
      </c>
      <c r="D9" s="17" t="s">
        <v>21</v>
      </c>
      <c r="E9" s="18"/>
      <c r="F9" s="16" t="s">
        <v>153</v>
      </c>
      <c r="G9" s="105"/>
    </row>
    <row r="10" spans="1:15" s="11" customFormat="1" ht="16.5" x14ac:dyDescent="0.25">
      <c r="B10" s="16" t="s">
        <v>4</v>
      </c>
      <c r="C10" s="18"/>
      <c r="D10" s="16"/>
      <c r="E10" s="16"/>
      <c r="F10" s="16"/>
      <c r="G10" s="16"/>
    </row>
    <row r="11" spans="1:15" s="11" customFormat="1" ht="16.5" x14ac:dyDescent="0.25">
      <c r="B11" s="16" t="s">
        <v>5</v>
      </c>
      <c r="C11" s="18"/>
      <c r="D11" s="16"/>
      <c r="E11" s="16"/>
      <c r="F11" s="16"/>
      <c r="G11" s="16"/>
    </row>
    <row r="12" spans="1:15" s="11" customFormat="1" ht="16.5" x14ac:dyDescent="0.25">
      <c r="B12" s="16" t="s">
        <v>7</v>
      </c>
      <c r="C12" s="18"/>
      <c r="D12" s="17" t="s">
        <v>8</v>
      </c>
      <c r="E12" s="18"/>
      <c r="F12" s="17" t="s">
        <v>9</v>
      </c>
      <c r="G12" s="18" t="s">
        <v>208</v>
      </c>
    </row>
    <row r="13" spans="1:15" s="11" customFormat="1" ht="16.5" x14ac:dyDescent="0.25">
      <c r="B13" s="16" t="s">
        <v>6</v>
      </c>
      <c r="C13" s="18"/>
      <c r="D13" s="16"/>
      <c r="E13" s="16"/>
      <c r="F13" s="16"/>
      <c r="G13" s="16"/>
    </row>
    <row r="14" spans="1:15" s="11" customFormat="1" ht="16.5" x14ac:dyDescent="0.25">
      <c r="B14" s="16" t="s">
        <v>10</v>
      </c>
      <c r="C14" s="150" t="s">
        <v>226</v>
      </c>
      <c r="D14" s="16"/>
      <c r="E14" s="16"/>
      <c r="F14" s="16"/>
      <c r="G14" s="16"/>
    </row>
    <row r="15" spans="1:15" s="11" customFormat="1" ht="16.5" x14ac:dyDescent="0.25">
      <c r="B15" s="16" t="s">
        <v>160</v>
      </c>
      <c r="C15" s="150" t="s">
        <v>226</v>
      </c>
      <c r="D15" s="16"/>
      <c r="E15" s="16"/>
      <c r="F15" s="16"/>
      <c r="G15" s="16"/>
    </row>
    <row r="16" spans="1:15" s="11" customFormat="1" ht="16.5" x14ac:dyDescent="0.25">
      <c r="B16" s="16" t="s">
        <v>25</v>
      </c>
      <c r="C16" s="73"/>
      <c r="D16" s="16"/>
      <c r="E16" s="178"/>
      <c r="F16" s="179"/>
      <c r="G16" s="180"/>
    </row>
    <row r="17" spans="1:7" s="11" customFormat="1" ht="16.5" x14ac:dyDescent="0.25">
      <c r="B17" s="19"/>
      <c r="C17" s="39"/>
      <c r="D17" s="132"/>
      <c r="E17" s="133"/>
      <c r="F17" s="134"/>
      <c r="G17" s="135"/>
    </row>
    <row r="18" spans="1:7" s="11" customFormat="1" ht="16.5" x14ac:dyDescent="0.25">
      <c r="B18" s="19"/>
      <c r="C18" s="131"/>
      <c r="D18" s="139" t="s">
        <v>213</v>
      </c>
      <c r="E18" s="137" t="s">
        <v>214</v>
      </c>
      <c r="F18" s="142" t="s">
        <v>215</v>
      </c>
      <c r="G18" s="138" t="s">
        <v>216</v>
      </c>
    </row>
    <row r="19" spans="1:7" s="11" customFormat="1" ht="16.5" x14ac:dyDescent="0.25">
      <c r="B19" s="16"/>
      <c r="C19" s="131"/>
      <c r="D19" s="139" t="s">
        <v>226</v>
      </c>
      <c r="E19" s="137" t="s">
        <v>226</v>
      </c>
      <c r="F19" s="149" t="s">
        <v>226</v>
      </c>
      <c r="G19" s="138" t="s">
        <v>226</v>
      </c>
    </row>
    <row r="20" spans="1:7" s="11" customFormat="1" ht="16.5" x14ac:dyDescent="0.25">
      <c r="B20" s="16"/>
      <c r="C20" s="18"/>
      <c r="D20" s="140"/>
      <c r="E20" s="137" t="s">
        <v>217</v>
      </c>
      <c r="F20" s="143"/>
      <c r="G20" s="138" t="s">
        <v>214</v>
      </c>
    </row>
    <row r="21" spans="1:7" s="11" customFormat="1" ht="16.5" x14ac:dyDescent="0.25">
      <c r="B21" s="16"/>
      <c r="C21" s="18"/>
      <c r="D21" s="141"/>
      <c r="E21" s="137" t="s">
        <v>226</v>
      </c>
      <c r="F21" s="144"/>
      <c r="G21" s="138" t="s">
        <v>226</v>
      </c>
    </row>
    <row r="22" spans="1:7" x14ac:dyDescent="0.3">
      <c r="B22" s="7"/>
      <c r="C22" s="20"/>
      <c r="D22" s="5"/>
      <c r="E22" s="136"/>
      <c r="F22" s="5"/>
      <c r="G22" s="145"/>
    </row>
    <row r="23" spans="1:7" x14ac:dyDescent="0.3">
      <c r="B23" s="7"/>
      <c r="C23" s="6"/>
      <c r="D23" s="5"/>
      <c r="E23" s="5"/>
      <c r="F23" s="5"/>
      <c r="G23" s="5"/>
    </row>
    <row r="24" spans="1:7" s="11" customFormat="1" ht="18.75" customHeight="1" x14ac:dyDescent="0.25">
      <c r="A24" s="8"/>
      <c r="B24" s="9"/>
      <c r="C24" s="10"/>
      <c r="D24" s="10"/>
      <c r="E24" s="78"/>
      <c r="F24" s="37"/>
      <c r="G24" s="9"/>
    </row>
    <row r="25" spans="1:7" s="11" customFormat="1" ht="16.5" x14ac:dyDescent="0.25">
      <c r="A25" s="12"/>
      <c r="B25" s="13"/>
      <c r="C25" s="72"/>
      <c r="D25" s="14" t="s">
        <v>16</v>
      </c>
      <c r="E25" s="35"/>
      <c r="F25" s="36"/>
      <c r="G25" s="35"/>
    </row>
    <row r="26" spans="1:7" s="11" customFormat="1" ht="16.5" x14ac:dyDescent="0.25">
      <c r="A26" s="12"/>
      <c r="B26" s="13"/>
      <c r="C26" s="72"/>
      <c r="D26" s="13" t="s">
        <v>31</v>
      </c>
      <c r="E26" s="13"/>
      <c r="F26" s="37"/>
      <c r="G26" s="37"/>
    </row>
    <row r="27" spans="1:7" s="11" customFormat="1" ht="16.5" x14ac:dyDescent="0.25">
      <c r="A27" s="12"/>
      <c r="B27" s="13"/>
      <c r="C27" s="37"/>
      <c r="D27" s="37" t="s">
        <v>15</v>
      </c>
      <c r="E27" s="37"/>
      <c r="F27" s="79"/>
      <c r="G27" s="37"/>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3:O43"/>
  <sheetViews>
    <sheetView view="pageBreakPreview" topLeftCell="A26" zoomScaleNormal="85" zoomScaleSheetLayoutView="100" workbookViewId="0">
      <selection activeCell="F31" sqref="F31"/>
    </sheetView>
  </sheetViews>
  <sheetFormatPr defaultColWidth="9.140625" defaultRowHeight="18.75" x14ac:dyDescent="0.3"/>
  <cols>
    <col min="1" max="1" width="13.42578125" style="23" customWidth="1"/>
    <col min="2" max="2" width="2.7109375" style="23" customWidth="1"/>
    <col min="3" max="3" width="4.140625" style="23" customWidth="1"/>
    <col min="4" max="4" width="15.42578125" style="23" customWidth="1"/>
    <col min="5" max="5" width="8" style="23" customWidth="1"/>
    <col min="6" max="6" width="11.42578125" style="23" customWidth="1"/>
    <col min="7" max="7" width="10.140625" style="23" customWidth="1"/>
    <col min="8" max="8" width="5.5703125" style="23" customWidth="1"/>
    <col min="9" max="9" width="10.140625" style="23" customWidth="1"/>
    <col min="10" max="10" width="12.140625" style="23" customWidth="1"/>
    <col min="11" max="15" width="9.140625" style="1"/>
    <col min="16" max="16384" width="9.140625" style="23"/>
  </cols>
  <sheetData>
    <row r="3" spans="1:15" s="22" customFormat="1" x14ac:dyDescent="0.3">
      <c r="A3" s="183" t="s">
        <v>43</v>
      </c>
      <c r="B3" s="183"/>
      <c r="C3" s="183"/>
      <c r="D3" s="183"/>
      <c r="E3" s="174" t="s">
        <v>17</v>
      </c>
      <c r="F3" s="174"/>
      <c r="G3" s="174"/>
      <c r="H3" s="174"/>
      <c r="I3" s="174"/>
      <c r="J3" s="174"/>
      <c r="K3" s="11"/>
      <c r="L3" s="11"/>
      <c r="M3" s="11"/>
      <c r="N3" s="11"/>
      <c r="O3" s="11"/>
    </row>
    <row r="4" spans="1:15" s="22" customFormat="1" x14ac:dyDescent="0.3">
      <c r="A4" s="184" t="s">
        <v>44</v>
      </c>
      <c r="B4" s="184"/>
      <c r="C4" s="184"/>
      <c r="D4" s="184"/>
      <c r="E4" s="174" t="s">
        <v>161</v>
      </c>
      <c r="F4" s="174"/>
      <c r="G4" s="174"/>
      <c r="H4" s="174"/>
      <c r="I4" s="174"/>
      <c r="J4" s="174"/>
      <c r="K4" s="3"/>
      <c r="L4" s="3"/>
      <c r="M4" s="3"/>
      <c r="N4" s="3"/>
      <c r="O4" s="3"/>
    </row>
    <row r="5" spans="1:15" x14ac:dyDescent="0.3">
      <c r="A5" s="159"/>
      <c r="B5" s="159"/>
      <c r="C5" s="159"/>
      <c r="D5" s="159"/>
      <c r="K5" s="11"/>
      <c r="L5" s="11"/>
      <c r="M5" s="11"/>
      <c r="N5" s="11"/>
      <c r="O5" s="11"/>
    </row>
    <row r="6" spans="1:15" x14ac:dyDescent="0.3">
      <c r="A6" s="162"/>
      <c r="B6" s="162"/>
      <c r="C6" s="162"/>
      <c r="D6" s="162"/>
      <c r="E6" s="172" t="s">
        <v>223</v>
      </c>
      <c r="F6" s="172"/>
      <c r="G6" s="172"/>
      <c r="H6" s="172"/>
      <c r="I6" s="172"/>
      <c r="J6" s="172"/>
      <c r="K6" s="11"/>
      <c r="L6" s="11"/>
      <c r="M6" s="11"/>
      <c r="N6" s="11"/>
      <c r="O6" s="11"/>
    </row>
    <row r="7" spans="1:15" x14ac:dyDescent="0.3">
      <c r="A7" s="42"/>
      <c r="B7" s="42"/>
      <c r="C7" s="42"/>
      <c r="D7" s="42"/>
      <c r="E7" s="43"/>
      <c r="F7" s="43"/>
      <c r="G7" s="43"/>
      <c r="H7" s="43"/>
      <c r="I7" s="43"/>
      <c r="J7" s="43"/>
      <c r="K7" s="11"/>
      <c r="L7" s="11"/>
      <c r="M7" s="11"/>
      <c r="N7" s="11"/>
      <c r="O7" s="11"/>
    </row>
    <row r="8" spans="1:15" x14ac:dyDescent="0.25">
      <c r="A8" s="169" t="s">
        <v>32</v>
      </c>
      <c r="B8" s="169"/>
      <c r="C8" s="169"/>
      <c r="D8" s="169"/>
      <c r="E8" s="169"/>
      <c r="F8" s="169"/>
      <c r="G8" s="169"/>
      <c r="H8" s="169"/>
      <c r="I8" s="169"/>
      <c r="J8" s="169"/>
      <c r="K8" s="11"/>
      <c r="L8" s="11"/>
      <c r="M8" s="11"/>
      <c r="N8" s="11"/>
      <c r="O8" s="11"/>
    </row>
    <row r="9" spans="1:15" ht="19.5" x14ac:dyDescent="0.35">
      <c r="A9" s="185" t="s">
        <v>225</v>
      </c>
      <c r="B9" s="186"/>
      <c r="C9" s="186"/>
      <c r="D9" s="186"/>
      <c r="E9" s="186"/>
      <c r="F9" s="186"/>
      <c r="G9" s="186"/>
      <c r="H9" s="186"/>
      <c r="I9" s="186"/>
      <c r="J9" s="186"/>
      <c r="K9" s="11"/>
      <c r="L9" s="11"/>
      <c r="M9" s="11"/>
      <c r="N9" s="11"/>
      <c r="O9" s="11"/>
    </row>
    <row r="10" spans="1:15" x14ac:dyDescent="0.3">
      <c r="A10" s="21"/>
      <c r="B10" s="21"/>
      <c r="C10" s="21"/>
      <c r="D10" s="21"/>
      <c r="E10" s="21"/>
      <c r="F10" s="21"/>
      <c r="G10" s="21"/>
      <c r="H10" s="21"/>
      <c r="I10" s="21"/>
      <c r="J10" s="21"/>
      <c r="K10" s="11"/>
      <c r="L10" s="11"/>
      <c r="M10" s="11"/>
      <c r="N10" s="11"/>
      <c r="O10" s="11"/>
    </row>
    <row r="11" spans="1:15" s="25" customFormat="1" x14ac:dyDescent="0.3">
      <c r="A11" s="25" t="s">
        <v>20</v>
      </c>
      <c r="B11" s="151">
        <f>TTCHUNG!C7</f>
        <v>0</v>
      </c>
      <c r="F11" s="25" t="s">
        <v>21</v>
      </c>
      <c r="G11" s="25">
        <f>TTCHUNG!E9</f>
        <v>0</v>
      </c>
      <c r="H11" s="166" t="s">
        <v>22</v>
      </c>
      <c r="I11" s="166"/>
      <c r="J11" s="82" t="str">
        <f>TTCHUNG!C9</f>
        <v/>
      </c>
      <c r="K11" s="11"/>
      <c r="L11" s="11"/>
      <c r="M11" s="11"/>
      <c r="N11" s="11"/>
      <c r="O11" s="11"/>
    </row>
    <row r="12" spans="1:15" s="25" customFormat="1" x14ac:dyDescent="0.3">
      <c r="A12" s="25" t="s">
        <v>3</v>
      </c>
      <c r="C12" s="25">
        <f>TTCHUNG!C8</f>
        <v>0</v>
      </c>
      <c r="K12" s="11"/>
      <c r="L12" s="11"/>
      <c r="M12" s="11"/>
      <c r="N12" s="11"/>
      <c r="O12" s="11"/>
    </row>
    <row r="13" spans="1:15" s="25" customFormat="1" x14ac:dyDescent="0.3">
      <c r="A13" s="25" t="s">
        <v>4</v>
      </c>
      <c r="K13" s="11"/>
      <c r="L13" s="11"/>
      <c r="M13" s="11"/>
      <c r="N13" s="11"/>
      <c r="O13" s="11"/>
    </row>
    <row r="14" spans="1:15" s="25" customFormat="1" x14ac:dyDescent="0.3">
      <c r="A14" s="25" t="s">
        <v>5</v>
      </c>
      <c r="B14" s="187">
        <f>TTCHUNG!C11</f>
        <v>0</v>
      </c>
      <c r="C14" s="187"/>
      <c r="D14" s="187"/>
      <c r="E14" s="187"/>
      <c r="F14" s="187"/>
      <c r="G14" s="187"/>
      <c r="H14" s="187"/>
      <c r="I14" s="187"/>
      <c r="J14" s="187"/>
      <c r="K14" s="11"/>
      <c r="L14" s="11"/>
      <c r="M14" s="11"/>
      <c r="N14" s="11"/>
      <c r="O14" s="11"/>
    </row>
    <row r="15" spans="1:15" s="25" customFormat="1" x14ac:dyDescent="0.3">
      <c r="A15" s="25" t="s">
        <v>7</v>
      </c>
      <c r="B15" s="129">
        <f>TTCHUNG!C12</f>
        <v>0</v>
      </c>
      <c r="F15" s="25" t="s">
        <v>8</v>
      </c>
      <c r="G15" s="25">
        <f>TTCHUNG!E12</f>
        <v>0</v>
      </c>
      <c r="K15" s="11"/>
      <c r="L15" s="11"/>
      <c r="M15" s="11"/>
      <c r="N15" s="11"/>
      <c r="O15" s="11"/>
    </row>
    <row r="16" spans="1:15" s="25" customFormat="1" x14ac:dyDescent="0.3">
      <c r="A16" s="25" t="s">
        <v>33</v>
      </c>
      <c r="D16" s="80"/>
      <c r="E16" s="25" t="str">
        <f>TTCHUNG!G12</f>
        <v>Lao động tự do.</v>
      </c>
      <c r="K16" s="11"/>
      <c r="L16" s="11"/>
      <c r="M16" s="11"/>
      <c r="N16" s="11"/>
      <c r="O16" s="11"/>
    </row>
    <row r="17" spans="1:15" s="25" customFormat="1" ht="19.5" x14ac:dyDescent="0.35">
      <c r="A17" s="25" t="s">
        <v>19</v>
      </c>
      <c r="D17" s="33">
        <f>TTCHUNG!C13</f>
        <v>0</v>
      </c>
      <c r="K17" s="11"/>
      <c r="L17" s="11"/>
      <c r="M17" s="11"/>
      <c r="N17" s="11"/>
      <c r="O17" s="11"/>
    </row>
    <row r="18" spans="1:15" s="25" customFormat="1" x14ac:dyDescent="0.3">
      <c r="A18" s="25" t="s">
        <v>10</v>
      </c>
      <c r="B18" s="168" t="str">
        <f>TTCHUNG!C14</f>
        <v/>
      </c>
      <c r="C18" s="168"/>
      <c r="D18" s="168"/>
      <c r="E18" s="77"/>
      <c r="F18" s="54"/>
      <c r="K18" s="11"/>
      <c r="L18" s="11"/>
      <c r="M18" s="11"/>
      <c r="N18" s="11"/>
      <c r="O18" s="11"/>
    </row>
    <row r="19" spans="1:15" s="25" customFormat="1" x14ac:dyDescent="0.3">
      <c r="A19" s="25" t="s">
        <v>34</v>
      </c>
      <c r="K19" s="11"/>
      <c r="L19" s="11"/>
      <c r="M19" s="11"/>
      <c r="N19" s="11"/>
      <c r="O19" s="11"/>
    </row>
    <row r="20" spans="1:15" s="25" customFormat="1" x14ac:dyDescent="0.3">
      <c r="A20" s="169" t="s">
        <v>35</v>
      </c>
      <c r="B20" s="169"/>
      <c r="C20" s="169"/>
      <c r="D20" s="169"/>
      <c r="E20" s="169"/>
      <c r="F20" s="169"/>
      <c r="G20" s="169"/>
      <c r="H20" s="169"/>
      <c r="I20" s="169"/>
      <c r="J20" s="169"/>
      <c r="K20" s="11"/>
      <c r="L20" s="11"/>
      <c r="M20" s="11"/>
      <c r="N20" s="11"/>
      <c r="O20" s="11"/>
    </row>
    <row r="21" spans="1:15" s="25" customFormat="1" ht="18.75" customHeight="1" x14ac:dyDescent="0.3">
      <c r="A21" s="188" t="s">
        <v>222</v>
      </c>
      <c r="B21" s="188"/>
      <c r="C21" s="188"/>
      <c r="D21" s="188"/>
      <c r="E21" s="188"/>
      <c r="F21" s="188"/>
      <c r="G21" s="188"/>
      <c r="H21" s="188"/>
      <c r="I21" s="188"/>
      <c r="J21" s="188"/>
      <c r="K21" s="1"/>
      <c r="L21" s="1"/>
      <c r="M21" s="1"/>
      <c r="N21" s="1"/>
      <c r="O21" s="1"/>
    </row>
    <row r="22" spans="1:15" s="25" customFormat="1" x14ac:dyDescent="0.3">
      <c r="A22" s="34" t="s">
        <v>36</v>
      </c>
      <c r="K22" s="1"/>
      <c r="L22" s="1"/>
      <c r="M22" s="1"/>
      <c r="N22" s="1"/>
      <c r="O22" s="1"/>
    </row>
    <row r="23" spans="1:15" s="25" customFormat="1" x14ac:dyDescent="0.3">
      <c r="A23" s="25" t="s">
        <v>41</v>
      </c>
      <c r="K23" s="11"/>
      <c r="L23" s="11"/>
      <c r="M23" s="11"/>
      <c r="N23" s="11"/>
      <c r="O23" s="11"/>
    </row>
    <row r="24" spans="1:15" s="25" customFormat="1" x14ac:dyDescent="0.3">
      <c r="A24" s="34" t="s">
        <v>37</v>
      </c>
      <c r="K24" s="11"/>
      <c r="L24" s="11"/>
      <c r="M24" s="11"/>
      <c r="N24" s="11"/>
      <c r="O24" s="11"/>
    </row>
    <row r="25" spans="1:15" s="25" customFormat="1" x14ac:dyDescent="0.3">
      <c r="A25" s="25" t="s">
        <v>156</v>
      </c>
      <c r="K25" s="11"/>
      <c r="L25" s="11"/>
      <c r="M25" s="11"/>
      <c r="N25" s="11"/>
      <c r="O25" s="11"/>
    </row>
    <row r="26" spans="1:15" s="25" customFormat="1" x14ac:dyDescent="0.3">
      <c r="A26" s="34" t="s">
        <v>38</v>
      </c>
      <c r="E26" s="25" t="s">
        <v>39</v>
      </c>
      <c r="K26" s="11"/>
      <c r="L26" s="11"/>
      <c r="M26" s="11"/>
      <c r="N26" s="11"/>
      <c r="O26" s="11"/>
    </row>
    <row r="27" spans="1:15" s="25" customFormat="1" ht="18" customHeight="1" x14ac:dyDescent="0.3">
      <c r="K27" s="11"/>
      <c r="L27" s="11"/>
      <c r="M27" s="11"/>
      <c r="N27" s="11"/>
      <c r="O27" s="11"/>
    </row>
    <row r="28" spans="1:15" s="55" customFormat="1" ht="15.75" customHeight="1" x14ac:dyDescent="0.3">
      <c r="A28" s="165" t="s">
        <v>170</v>
      </c>
      <c r="B28" s="165"/>
      <c r="C28" s="165"/>
      <c r="D28" s="165"/>
      <c r="E28" s="165"/>
      <c r="F28" s="165" t="s">
        <v>40</v>
      </c>
      <c r="G28" s="165"/>
      <c r="H28" s="165"/>
      <c r="I28" s="165"/>
      <c r="J28" s="165"/>
      <c r="K28" s="1"/>
      <c r="L28" s="1"/>
      <c r="M28" s="1"/>
      <c r="N28" s="1"/>
      <c r="O28" s="1"/>
    </row>
    <row r="29" spans="1:15" ht="15" customHeight="1" x14ac:dyDescent="0.3">
      <c r="A29" s="32"/>
      <c r="B29" s="160"/>
      <c r="C29" s="160"/>
      <c r="D29" s="160"/>
      <c r="E29" s="160"/>
      <c r="F29" s="32"/>
      <c r="G29" s="160"/>
      <c r="H29" s="160"/>
      <c r="I29" s="160"/>
      <c r="J29" s="160"/>
    </row>
    <row r="30" spans="1:15" x14ac:dyDescent="0.3">
      <c r="C30" s="27"/>
      <c r="H30" s="27"/>
    </row>
    <row r="31" spans="1:15" x14ac:dyDescent="0.3">
      <c r="C31" s="28"/>
      <c r="H31" s="28"/>
    </row>
    <row r="32" spans="1:15" x14ac:dyDescent="0.3">
      <c r="C32" s="28"/>
      <c r="H32" s="28"/>
    </row>
    <row r="33" spans="1:10" x14ac:dyDescent="0.3">
      <c r="C33" s="28"/>
      <c r="H33" s="28"/>
    </row>
    <row r="34" spans="1:10" x14ac:dyDescent="0.3">
      <c r="C34" s="26"/>
      <c r="H34" s="26"/>
    </row>
    <row r="35" spans="1:10" ht="18.75" customHeight="1" x14ac:dyDescent="0.3">
      <c r="A35" s="165" t="s">
        <v>171</v>
      </c>
      <c r="B35" s="165"/>
      <c r="C35" s="165"/>
      <c r="D35" s="165"/>
      <c r="E35" s="165"/>
      <c r="F35" s="165" t="s">
        <v>174</v>
      </c>
      <c r="G35" s="165"/>
      <c r="H35" s="165"/>
      <c r="I35" s="165"/>
      <c r="J35" s="165"/>
    </row>
    <row r="36" spans="1:10" x14ac:dyDescent="0.3">
      <c r="A36" s="29"/>
    </row>
    <row r="38" spans="1:10" ht="54" customHeight="1" x14ac:dyDescent="0.3"/>
    <row r="43" spans="1:10" ht="18.75" customHeight="1" x14ac:dyDescent="0.3">
      <c r="F43" s="165"/>
      <c r="G43" s="165"/>
      <c r="H43" s="165"/>
      <c r="I43" s="165"/>
      <c r="J43" s="165"/>
    </row>
  </sheetData>
  <mergeCells count="21">
    <mergeCell ref="F43:J43"/>
    <mergeCell ref="A21:J21"/>
    <mergeCell ref="A28:E28"/>
    <mergeCell ref="F28:J28"/>
    <mergeCell ref="B29:E29"/>
    <mergeCell ref="G29:J29"/>
    <mergeCell ref="A35:E35"/>
    <mergeCell ref="F35:J35"/>
    <mergeCell ref="A20:J20"/>
    <mergeCell ref="A3:D3"/>
    <mergeCell ref="E3:J3"/>
    <mergeCell ref="A4:D4"/>
    <mergeCell ref="E4:J4"/>
    <mergeCell ref="A5:D5"/>
    <mergeCell ref="A6:D6"/>
    <mergeCell ref="E6:J6"/>
    <mergeCell ref="A8:J8"/>
    <mergeCell ref="A9:J9"/>
    <mergeCell ref="H11:I11"/>
    <mergeCell ref="B14:J14"/>
    <mergeCell ref="B18:D18"/>
  </mergeCells>
  <printOptions horizontalCentered="1" verticalCentered="1"/>
  <pageMargins left="0.7" right="0.2" top="0.5" bottom="0.5" header="0.3" footer="0.3"/>
  <pageSetup paperSize="9" scale="9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L121"/>
  <sheetViews>
    <sheetView view="pageBreakPreview" topLeftCell="A45" zoomScaleNormal="100" zoomScaleSheetLayoutView="100" workbookViewId="0">
      <selection activeCell="C18" sqref="C18:D18"/>
    </sheetView>
  </sheetViews>
  <sheetFormatPr defaultColWidth="9.140625" defaultRowHeight="18.75" x14ac:dyDescent="0.3"/>
  <cols>
    <col min="1" max="1" width="2" style="23" customWidth="1"/>
    <col min="2" max="2" width="5.140625" style="89" customWidth="1"/>
    <col min="3" max="3" width="32" style="23" customWidth="1"/>
    <col min="4" max="4" width="26" style="23" customWidth="1"/>
    <col min="5" max="5" width="11.140625" style="23" customWidth="1"/>
    <col min="6" max="7" width="9.7109375" style="23" customWidth="1"/>
    <col min="8" max="12" width="9.140625" style="1"/>
    <col min="13" max="16384" width="9.140625" style="23"/>
  </cols>
  <sheetData>
    <row r="3" spans="1:12" ht="17.25" x14ac:dyDescent="0.25">
      <c r="A3" s="183" t="s">
        <v>43</v>
      </c>
      <c r="B3" s="183"/>
      <c r="C3" s="183"/>
      <c r="D3" s="174" t="s">
        <v>17</v>
      </c>
      <c r="E3" s="174"/>
      <c r="F3" s="174"/>
      <c r="G3" s="174"/>
      <c r="H3" s="11"/>
      <c r="I3" s="11"/>
      <c r="J3" s="11"/>
      <c r="K3" s="11"/>
      <c r="L3" s="11"/>
    </row>
    <row r="4" spans="1:12" ht="17.25" x14ac:dyDescent="0.25">
      <c r="A4" s="184" t="s">
        <v>44</v>
      </c>
      <c r="B4" s="184"/>
      <c r="C4" s="184"/>
      <c r="D4" s="174" t="s">
        <v>161</v>
      </c>
      <c r="E4" s="174"/>
      <c r="F4" s="174"/>
      <c r="G4" s="174"/>
      <c r="H4" s="3"/>
      <c r="I4" s="3"/>
      <c r="J4" s="3"/>
      <c r="K4" s="3"/>
      <c r="L4" s="3"/>
    </row>
    <row r="5" spans="1:12" x14ac:dyDescent="0.3">
      <c r="A5" s="159"/>
      <c r="B5" s="159"/>
      <c r="C5" s="159"/>
      <c r="D5" s="159"/>
      <c r="E5" s="159"/>
      <c r="H5" s="11"/>
      <c r="I5" s="11"/>
      <c r="J5" s="11"/>
      <c r="K5" s="11"/>
      <c r="L5" s="11"/>
    </row>
    <row r="6" spans="1:12" x14ac:dyDescent="0.3">
      <c r="A6" s="42"/>
      <c r="B6" s="84"/>
      <c r="C6" s="159" t="s">
        <v>98</v>
      </c>
      <c r="D6" s="159"/>
      <c r="E6" s="159"/>
      <c r="F6" s="159"/>
      <c r="G6" s="43"/>
      <c r="H6" s="11"/>
      <c r="I6" s="11"/>
      <c r="J6" s="11"/>
      <c r="K6" s="11"/>
      <c r="L6" s="11"/>
    </row>
    <row r="7" spans="1:12" x14ac:dyDescent="0.25">
      <c r="A7" s="169" t="s">
        <v>99</v>
      </c>
      <c r="B7" s="169"/>
      <c r="C7" s="169"/>
      <c r="D7" s="169"/>
      <c r="E7" s="169"/>
      <c r="F7" s="169"/>
      <c r="G7" s="169"/>
      <c r="H7" s="11"/>
      <c r="I7" s="11"/>
      <c r="J7" s="11"/>
      <c r="K7" s="11"/>
      <c r="L7" s="11"/>
    </row>
    <row r="8" spans="1:12" x14ac:dyDescent="0.25">
      <c r="A8" s="44"/>
      <c r="B8" s="44"/>
      <c r="C8" s="169"/>
      <c r="D8" s="169"/>
      <c r="E8" s="169"/>
      <c r="F8" s="169"/>
      <c r="G8" s="169"/>
      <c r="H8" s="11"/>
      <c r="I8" s="11"/>
      <c r="J8" s="11"/>
      <c r="K8" s="11"/>
      <c r="L8" s="11"/>
    </row>
    <row r="9" spans="1:12" x14ac:dyDescent="0.25">
      <c r="A9" s="44"/>
      <c r="B9" s="44"/>
      <c r="C9" s="40" t="s">
        <v>11</v>
      </c>
      <c r="D9" s="190" t="str">
        <f>TTCHUNG!C4</f>
        <v>1610GP0925/225CO</v>
      </c>
      <c r="E9" s="190"/>
      <c r="F9" s="190"/>
      <c r="G9" s="190"/>
      <c r="H9" s="11"/>
      <c r="I9" s="11"/>
      <c r="J9" s="11"/>
      <c r="K9" s="11"/>
      <c r="L9" s="11"/>
    </row>
    <row r="10" spans="1:12" x14ac:dyDescent="0.25">
      <c r="A10" s="44"/>
      <c r="B10" s="44"/>
      <c r="C10" s="40" t="s">
        <v>100</v>
      </c>
      <c r="D10" s="152" t="str">
        <f>TTCHUNG!D7</f>
        <v/>
      </c>
      <c r="E10" s="85" t="s">
        <v>22</v>
      </c>
      <c r="F10" s="191" t="str">
        <f>TTCHUNG!C9</f>
        <v/>
      </c>
      <c r="G10" s="191"/>
      <c r="H10" s="11"/>
      <c r="I10" s="11"/>
      <c r="J10" s="11"/>
      <c r="K10" s="11"/>
      <c r="L10" s="11"/>
    </row>
    <row r="11" spans="1:12" x14ac:dyDescent="0.25">
      <c r="A11" s="44"/>
      <c r="B11" s="44"/>
      <c r="C11" s="40" t="s">
        <v>81</v>
      </c>
      <c r="D11" s="192">
        <f>TTCHUNG!C11</f>
        <v>0</v>
      </c>
      <c r="E11" s="192"/>
      <c r="F11" s="192"/>
      <c r="G11" s="192"/>
      <c r="H11" s="11"/>
      <c r="I11" s="11"/>
      <c r="J11" s="11"/>
      <c r="K11" s="11"/>
      <c r="L11" s="11"/>
    </row>
    <row r="12" spans="1:12" ht="22.5" customHeight="1" x14ac:dyDescent="0.3">
      <c r="A12" s="21"/>
      <c r="B12" s="44"/>
      <c r="C12" s="40" t="s">
        <v>1</v>
      </c>
      <c r="D12" s="189" t="str">
        <f>TTCHUNG!C5</f>
        <v>Trần Văn Dương</v>
      </c>
      <c r="E12" s="189"/>
      <c r="F12" s="189"/>
      <c r="G12" s="189"/>
      <c r="H12" s="11"/>
      <c r="I12" s="11"/>
      <c r="J12" s="11"/>
      <c r="K12" s="11"/>
      <c r="L12" s="11"/>
    </row>
    <row r="13" spans="1:12" ht="22.5" customHeight="1" x14ac:dyDescent="0.3">
      <c r="A13" s="21"/>
      <c r="B13" s="44"/>
      <c r="C13" s="83"/>
      <c r="D13" s="83"/>
      <c r="E13" s="83"/>
      <c r="F13" s="83"/>
      <c r="G13" s="83"/>
      <c r="H13" s="11"/>
      <c r="I13" s="11"/>
      <c r="J13" s="11"/>
      <c r="K13" s="11"/>
      <c r="L13" s="11"/>
    </row>
    <row r="14" spans="1:12" s="62" customFormat="1" ht="63.75" customHeight="1" x14ac:dyDescent="0.3">
      <c r="A14" s="61"/>
      <c r="B14" s="63" t="s">
        <v>76</v>
      </c>
      <c r="C14" s="194" t="s">
        <v>77</v>
      </c>
      <c r="D14" s="194"/>
      <c r="E14" s="64" t="s">
        <v>78</v>
      </c>
      <c r="F14" s="64" t="s">
        <v>79</v>
      </c>
      <c r="G14" s="65" t="s">
        <v>80</v>
      </c>
      <c r="H14" s="11"/>
      <c r="I14" s="11"/>
      <c r="J14" s="11"/>
      <c r="K14" s="11"/>
      <c r="L14" s="11"/>
    </row>
    <row r="15" spans="1:12" s="55" customFormat="1" x14ac:dyDescent="0.3">
      <c r="B15" s="63">
        <v>1</v>
      </c>
      <c r="C15" s="195" t="s">
        <v>101</v>
      </c>
      <c r="D15" s="195"/>
      <c r="E15" s="63">
        <v>40</v>
      </c>
      <c r="F15" s="88"/>
      <c r="G15" s="87"/>
      <c r="H15" s="11"/>
      <c r="I15" s="11"/>
      <c r="J15" s="11"/>
      <c r="K15" s="11"/>
      <c r="L15" s="11"/>
    </row>
    <row r="16" spans="1:12" s="55" customFormat="1" x14ac:dyDescent="0.3">
      <c r="B16" s="88" t="s">
        <v>102</v>
      </c>
      <c r="C16" s="196" t="s">
        <v>112</v>
      </c>
      <c r="D16" s="196"/>
      <c r="E16" s="90" t="s">
        <v>111</v>
      </c>
      <c r="F16" s="88" t="str">
        <f t="shared" ref="F16:F26" si="0">E16</f>
        <v>05</v>
      </c>
      <c r="G16" s="87"/>
      <c r="H16" s="11"/>
      <c r="I16" s="11"/>
      <c r="J16" s="11"/>
      <c r="K16" s="11"/>
      <c r="L16" s="11"/>
    </row>
    <row r="17" spans="2:12" s="55" customFormat="1" x14ac:dyDescent="0.3">
      <c r="B17" s="88" t="s">
        <v>103</v>
      </c>
      <c r="C17" s="196" t="s">
        <v>113</v>
      </c>
      <c r="D17" s="196"/>
      <c r="E17" s="90" t="s">
        <v>111</v>
      </c>
      <c r="F17" s="88" t="str">
        <f t="shared" si="0"/>
        <v>05</v>
      </c>
      <c r="G17" s="87"/>
      <c r="H17" s="11"/>
      <c r="I17" s="11"/>
      <c r="J17" s="11"/>
      <c r="K17" s="11"/>
      <c r="L17" s="11"/>
    </row>
    <row r="18" spans="2:12" s="55" customFormat="1" ht="76.5" customHeight="1" x14ac:dyDescent="0.3">
      <c r="B18" s="88" t="s">
        <v>104</v>
      </c>
      <c r="C18" s="197" t="s">
        <v>114</v>
      </c>
      <c r="D18" s="197"/>
      <c r="E18" s="88">
        <v>10</v>
      </c>
      <c r="F18" s="88">
        <f t="shared" si="0"/>
        <v>10</v>
      </c>
      <c r="G18" s="87"/>
      <c r="H18" s="11"/>
      <c r="I18" s="11"/>
      <c r="J18" s="11"/>
      <c r="K18" s="11"/>
      <c r="L18" s="11"/>
    </row>
    <row r="19" spans="2:12" s="55" customFormat="1" ht="40.5" customHeight="1" x14ac:dyDescent="0.3">
      <c r="B19" s="88" t="s">
        <v>105</v>
      </c>
      <c r="C19" s="197" t="s">
        <v>115</v>
      </c>
      <c r="D19" s="197"/>
      <c r="E19" s="88">
        <v>10</v>
      </c>
      <c r="F19" s="88">
        <f t="shared" si="0"/>
        <v>10</v>
      </c>
      <c r="G19" s="87"/>
      <c r="H19" s="11"/>
      <c r="I19" s="11"/>
      <c r="J19" s="11"/>
      <c r="K19" s="11"/>
      <c r="L19" s="11"/>
    </row>
    <row r="20" spans="2:12" ht="40.5" customHeight="1" x14ac:dyDescent="0.25">
      <c r="B20" s="88" t="s">
        <v>106</v>
      </c>
      <c r="C20" s="197" t="s">
        <v>116</v>
      </c>
      <c r="D20" s="197"/>
      <c r="E20" s="90" t="s">
        <v>111</v>
      </c>
      <c r="F20" s="88" t="str">
        <f t="shared" si="0"/>
        <v>05</v>
      </c>
      <c r="G20" s="87"/>
      <c r="H20" s="11"/>
      <c r="I20" s="11"/>
      <c r="J20" s="11"/>
      <c r="K20" s="11"/>
      <c r="L20" s="11"/>
    </row>
    <row r="21" spans="2:12" ht="39" customHeight="1" x14ac:dyDescent="0.3">
      <c r="B21" s="88" t="s">
        <v>107</v>
      </c>
      <c r="C21" s="197" t="s">
        <v>117</v>
      </c>
      <c r="D21" s="197"/>
      <c r="E21" s="90" t="s">
        <v>111</v>
      </c>
      <c r="F21" s="88" t="str">
        <f t="shared" si="0"/>
        <v>05</v>
      </c>
      <c r="G21" s="87"/>
    </row>
    <row r="22" spans="2:12" x14ac:dyDescent="0.3">
      <c r="B22" s="63">
        <v>2</v>
      </c>
      <c r="C22" s="198" t="s">
        <v>108</v>
      </c>
      <c r="D22" s="198"/>
      <c r="E22" s="63">
        <v>60</v>
      </c>
      <c r="F22" s="88"/>
      <c r="G22" s="87"/>
    </row>
    <row r="23" spans="2:12" ht="82.5" customHeight="1" x14ac:dyDescent="0.25">
      <c r="B23" s="88" t="s">
        <v>109</v>
      </c>
      <c r="C23" s="197" t="s">
        <v>118</v>
      </c>
      <c r="D23" s="197"/>
      <c r="E23" s="88">
        <v>10</v>
      </c>
      <c r="F23" s="88">
        <f t="shared" si="0"/>
        <v>10</v>
      </c>
      <c r="G23" s="87"/>
      <c r="H23" s="11"/>
      <c r="I23" s="11"/>
      <c r="J23" s="11"/>
      <c r="K23" s="11"/>
      <c r="L23" s="11"/>
    </row>
    <row r="24" spans="2:12" ht="52.5" customHeight="1" x14ac:dyDescent="0.25">
      <c r="B24" s="88" t="s">
        <v>110</v>
      </c>
      <c r="C24" s="197" t="s">
        <v>130</v>
      </c>
      <c r="D24" s="197"/>
      <c r="E24" s="63">
        <v>30</v>
      </c>
      <c r="F24" s="88"/>
      <c r="G24" s="87"/>
      <c r="H24" s="11"/>
      <c r="I24" s="11"/>
      <c r="J24" s="11"/>
      <c r="K24" s="11"/>
      <c r="L24" s="11"/>
    </row>
    <row r="25" spans="2:12" ht="87" customHeight="1" x14ac:dyDescent="0.25">
      <c r="B25" s="88"/>
      <c r="C25" s="193" t="s">
        <v>131</v>
      </c>
      <c r="D25" s="193"/>
      <c r="E25" s="88">
        <v>10</v>
      </c>
      <c r="F25" s="88">
        <f t="shared" si="0"/>
        <v>10</v>
      </c>
      <c r="G25" s="87"/>
      <c r="H25" s="11"/>
      <c r="I25" s="11"/>
      <c r="J25" s="11"/>
      <c r="K25" s="11"/>
      <c r="L25" s="11"/>
    </row>
    <row r="26" spans="2:12" ht="82.5" customHeight="1" x14ac:dyDescent="0.25">
      <c r="B26" s="88"/>
      <c r="C26" s="197" t="s">
        <v>133</v>
      </c>
      <c r="D26" s="197"/>
      <c r="E26" s="88">
        <v>10</v>
      </c>
      <c r="F26" s="88">
        <f t="shared" si="0"/>
        <v>10</v>
      </c>
      <c r="G26" s="87"/>
      <c r="H26" s="11"/>
      <c r="I26" s="11"/>
      <c r="J26" s="11"/>
      <c r="K26" s="11"/>
      <c r="L26" s="11"/>
    </row>
    <row r="27" spans="2:12" ht="83.25" customHeight="1" x14ac:dyDescent="0.25">
      <c r="B27" s="88"/>
      <c r="C27" s="193" t="s">
        <v>132</v>
      </c>
      <c r="D27" s="197"/>
      <c r="E27" s="88"/>
      <c r="F27" s="88"/>
      <c r="G27" s="87"/>
      <c r="H27" s="11"/>
      <c r="I27" s="11"/>
      <c r="J27" s="11"/>
      <c r="K27" s="11"/>
      <c r="L27" s="11"/>
    </row>
    <row r="28" spans="2:12" ht="101.25" customHeight="1" x14ac:dyDescent="0.3">
      <c r="B28" s="88"/>
      <c r="C28" s="197" t="s">
        <v>134</v>
      </c>
      <c r="D28" s="197"/>
      <c r="E28" s="88">
        <v>10</v>
      </c>
      <c r="F28" s="88">
        <f>E28</f>
        <v>10</v>
      </c>
      <c r="G28" s="87"/>
    </row>
    <row r="29" spans="2:12" ht="72" customHeight="1" x14ac:dyDescent="0.3">
      <c r="B29" s="88" t="s">
        <v>119</v>
      </c>
      <c r="C29" s="197" t="s">
        <v>135</v>
      </c>
      <c r="D29" s="197"/>
      <c r="E29" s="90" t="s">
        <v>111</v>
      </c>
      <c r="F29" s="88" t="str">
        <f t="shared" ref="F29:F31" si="1">E29</f>
        <v>05</v>
      </c>
      <c r="G29" s="87"/>
    </row>
    <row r="30" spans="2:12" ht="67.5" customHeight="1" x14ac:dyDescent="0.3">
      <c r="B30" s="88" t="s">
        <v>120</v>
      </c>
      <c r="C30" s="197" t="s">
        <v>136</v>
      </c>
      <c r="D30" s="197"/>
      <c r="E30" s="90">
        <v>10</v>
      </c>
      <c r="F30" s="88">
        <f t="shared" si="1"/>
        <v>10</v>
      </c>
      <c r="G30" s="87"/>
    </row>
    <row r="31" spans="2:12" ht="54.75" customHeight="1" x14ac:dyDescent="0.3">
      <c r="B31" s="88" t="s">
        <v>121</v>
      </c>
      <c r="C31" s="197" t="s">
        <v>137</v>
      </c>
      <c r="D31" s="197"/>
      <c r="E31" s="90" t="s">
        <v>111</v>
      </c>
      <c r="F31" s="88" t="str">
        <f t="shared" si="1"/>
        <v>05</v>
      </c>
      <c r="G31" s="87"/>
    </row>
    <row r="32" spans="2:12" x14ac:dyDescent="0.3">
      <c r="B32" s="63">
        <v>3</v>
      </c>
      <c r="C32" s="198" t="s">
        <v>122</v>
      </c>
      <c r="D32" s="198"/>
      <c r="E32" s="63">
        <v>-100</v>
      </c>
      <c r="F32" s="88"/>
      <c r="G32" s="87"/>
    </row>
    <row r="33" spans="1:7" ht="36" customHeight="1" x14ac:dyDescent="0.3">
      <c r="B33" s="88" t="s">
        <v>123</v>
      </c>
      <c r="C33" s="197" t="s">
        <v>138</v>
      </c>
      <c r="D33" s="197"/>
      <c r="E33" s="88">
        <v>-100</v>
      </c>
      <c r="F33" s="88"/>
      <c r="G33" s="87"/>
    </row>
    <row r="34" spans="1:7" x14ac:dyDescent="0.3">
      <c r="B34" s="88" t="s">
        <v>124</v>
      </c>
      <c r="C34" s="196" t="s">
        <v>139</v>
      </c>
      <c r="D34" s="196"/>
      <c r="E34" s="88">
        <v>-50</v>
      </c>
      <c r="F34" s="88"/>
      <c r="G34" s="87"/>
    </row>
    <row r="35" spans="1:7" x14ac:dyDescent="0.3">
      <c r="B35" s="88" t="s">
        <v>125</v>
      </c>
      <c r="C35" s="196" t="s">
        <v>140</v>
      </c>
      <c r="D35" s="196"/>
      <c r="E35" s="88">
        <v>-100</v>
      </c>
      <c r="F35" s="88"/>
      <c r="G35" s="87"/>
    </row>
    <row r="36" spans="1:7" ht="48.75" customHeight="1" x14ac:dyDescent="0.3">
      <c r="B36" s="88" t="s">
        <v>126</v>
      </c>
      <c r="C36" s="197" t="s">
        <v>145</v>
      </c>
      <c r="D36" s="197"/>
      <c r="E36" s="88">
        <v>-50</v>
      </c>
      <c r="F36" s="88"/>
      <c r="G36" s="87"/>
    </row>
    <row r="37" spans="1:7" ht="57" customHeight="1" x14ac:dyDescent="0.3">
      <c r="B37" s="88" t="s">
        <v>127</v>
      </c>
      <c r="C37" s="197" t="s">
        <v>141</v>
      </c>
      <c r="D37" s="197"/>
      <c r="E37" s="88">
        <v>-50</v>
      </c>
      <c r="F37" s="88"/>
      <c r="G37" s="87"/>
    </row>
    <row r="38" spans="1:7" ht="68.25" customHeight="1" x14ac:dyDescent="0.3">
      <c r="B38" s="88" t="s">
        <v>128</v>
      </c>
      <c r="C38" s="197" t="s">
        <v>142</v>
      </c>
      <c r="D38" s="197"/>
      <c r="E38" s="88">
        <v>-100</v>
      </c>
      <c r="F38" s="88"/>
      <c r="G38" s="87"/>
    </row>
    <row r="39" spans="1:7" x14ac:dyDescent="0.3">
      <c r="B39" s="88"/>
      <c r="C39" s="194" t="s">
        <v>129</v>
      </c>
      <c r="D39" s="194"/>
      <c r="E39" s="63">
        <v>100</v>
      </c>
      <c r="F39" s="88">
        <v>100</v>
      </c>
      <c r="G39" s="87"/>
    </row>
    <row r="40" spans="1:7" x14ac:dyDescent="0.3">
      <c r="B40" s="86"/>
      <c r="C40" s="30"/>
      <c r="D40" s="30"/>
      <c r="E40" s="86"/>
      <c r="F40" s="76"/>
      <c r="G40" s="76"/>
    </row>
    <row r="41" spans="1:7" x14ac:dyDescent="0.3">
      <c r="B41" s="86"/>
      <c r="C41" s="40" t="s">
        <v>143</v>
      </c>
      <c r="D41" s="51" t="s">
        <v>144</v>
      </c>
      <c r="E41" s="30"/>
      <c r="F41" s="30"/>
      <c r="G41" s="30"/>
    </row>
    <row r="42" spans="1:7" x14ac:dyDescent="0.3">
      <c r="B42" s="86"/>
      <c r="C42" s="30"/>
      <c r="D42" s="199" t="s">
        <v>220</v>
      </c>
      <c r="E42" s="199"/>
      <c r="F42" s="199"/>
      <c r="G42" s="199"/>
    </row>
    <row r="43" spans="1:7" x14ac:dyDescent="0.3">
      <c r="B43" s="86"/>
      <c r="C43" s="30"/>
      <c r="D43" s="30"/>
      <c r="E43" s="86"/>
      <c r="F43" s="76"/>
      <c r="G43" s="76"/>
    </row>
    <row r="44" spans="1:7" x14ac:dyDescent="0.3">
      <c r="B44" s="86"/>
      <c r="C44" s="30"/>
      <c r="D44" s="30"/>
      <c r="E44" s="86"/>
      <c r="F44" s="76"/>
      <c r="G44" s="76"/>
    </row>
    <row r="45" spans="1:7" x14ac:dyDescent="0.3">
      <c r="A45" s="159"/>
      <c r="B45" s="159"/>
      <c r="C45" s="159"/>
      <c r="D45" s="51"/>
      <c r="E45" s="86"/>
      <c r="F45" s="76"/>
      <c r="G45" s="76"/>
    </row>
    <row r="46" spans="1:7" x14ac:dyDescent="0.3">
      <c r="B46" s="86"/>
      <c r="C46" s="30"/>
      <c r="D46" s="30"/>
      <c r="E46" s="86"/>
      <c r="F46" s="76"/>
      <c r="G46" s="76"/>
    </row>
    <row r="47" spans="1:7" x14ac:dyDescent="0.3">
      <c r="B47" s="86"/>
      <c r="C47" s="30"/>
      <c r="D47" s="30"/>
      <c r="E47" s="86"/>
      <c r="F47" s="76"/>
      <c r="G47" s="76"/>
    </row>
    <row r="48" spans="1:7" x14ac:dyDescent="0.3">
      <c r="B48" s="86"/>
      <c r="C48"/>
      <c r="D48"/>
      <c r="E48" s="86"/>
      <c r="F48" s="76"/>
      <c r="G48" s="76"/>
    </row>
    <row r="49" spans="2:7" x14ac:dyDescent="0.3">
      <c r="B49" s="86"/>
      <c r="C49" s="30"/>
      <c r="D49" s="30"/>
      <c r="E49" s="86"/>
      <c r="F49" s="76"/>
      <c r="G49" s="76"/>
    </row>
    <row r="50" spans="2:7" x14ac:dyDescent="0.3">
      <c r="B50" s="86"/>
      <c r="C50" s="30"/>
      <c r="D50" s="30"/>
      <c r="E50" s="86"/>
      <c r="F50" s="76"/>
      <c r="G50" s="76"/>
    </row>
    <row r="51" spans="2:7" x14ac:dyDescent="0.3">
      <c r="B51" s="86"/>
      <c r="C51" s="30"/>
      <c r="D51" s="30"/>
      <c r="E51" s="106" t="s">
        <v>31</v>
      </c>
      <c r="F51" s="200" t="str">
        <f>TTCHUNG!C5</f>
        <v>Trần Văn Dương</v>
      </c>
      <c r="G51" s="200"/>
    </row>
    <row r="52" spans="2:7" x14ac:dyDescent="0.3">
      <c r="B52" s="86"/>
      <c r="C52" s="76"/>
      <c r="D52" s="76"/>
      <c r="E52" s="86"/>
      <c r="F52" s="76"/>
      <c r="G52" s="76"/>
    </row>
    <row r="53" spans="2:7" x14ac:dyDescent="0.3">
      <c r="B53" s="86"/>
      <c r="C53" s="76"/>
      <c r="D53" s="76"/>
      <c r="E53" s="86"/>
      <c r="F53" s="76"/>
      <c r="G53" s="76"/>
    </row>
    <row r="54" spans="2:7" x14ac:dyDescent="0.3">
      <c r="B54" s="86"/>
      <c r="C54" s="76"/>
      <c r="D54" s="76"/>
      <c r="E54" s="86"/>
      <c r="F54" s="76"/>
      <c r="G54" s="76"/>
    </row>
    <row r="55" spans="2:7" x14ac:dyDescent="0.3">
      <c r="B55" s="86"/>
      <c r="C55" s="76"/>
      <c r="D55" s="76"/>
      <c r="E55" s="86"/>
      <c r="F55" s="76"/>
      <c r="G55" s="76"/>
    </row>
    <row r="56" spans="2:7" x14ac:dyDescent="0.3">
      <c r="B56" s="86"/>
      <c r="C56" s="76"/>
      <c r="D56" s="76"/>
      <c r="E56" s="86"/>
      <c r="F56" s="76"/>
      <c r="G56" s="76"/>
    </row>
    <row r="57" spans="2:7" x14ac:dyDescent="0.3">
      <c r="B57" s="86"/>
      <c r="C57" s="76"/>
      <c r="D57" s="76"/>
      <c r="E57" s="86"/>
      <c r="F57" s="76"/>
      <c r="G57" s="76"/>
    </row>
    <row r="58" spans="2:7" x14ac:dyDescent="0.3">
      <c r="B58" s="86"/>
      <c r="C58" s="76"/>
      <c r="D58" s="76"/>
      <c r="E58" s="86"/>
      <c r="F58" s="76"/>
      <c r="G58" s="76"/>
    </row>
    <row r="59" spans="2:7" x14ac:dyDescent="0.3">
      <c r="B59" s="86"/>
      <c r="C59" s="76"/>
      <c r="D59" s="76"/>
      <c r="E59" s="86"/>
      <c r="F59" s="76"/>
      <c r="G59" s="76"/>
    </row>
    <row r="60" spans="2:7" x14ac:dyDescent="0.3">
      <c r="B60" s="86"/>
      <c r="C60" s="76"/>
      <c r="D60" s="76"/>
      <c r="E60" s="86"/>
      <c r="F60" s="76"/>
      <c r="G60" s="76"/>
    </row>
    <row r="61" spans="2:7" x14ac:dyDescent="0.3">
      <c r="B61" s="86"/>
      <c r="C61" s="76"/>
      <c r="D61" s="76"/>
      <c r="E61" s="86"/>
      <c r="F61" s="76"/>
      <c r="G61" s="76"/>
    </row>
    <row r="62" spans="2:7" x14ac:dyDescent="0.3">
      <c r="B62" s="86"/>
      <c r="C62" s="76"/>
      <c r="D62" s="76"/>
      <c r="E62" s="86"/>
      <c r="F62" s="76"/>
      <c r="G62" s="76"/>
    </row>
    <row r="63" spans="2:7" x14ac:dyDescent="0.3">
      <c r="B63" s="86"/>
      <c r="C63" s="76"/>
      <c r="D63" s="76"/>
      <c r="E63" s="86"/>
      <c r="F63" s="76"/>
      <c r="G63" s="76"/>
    </row>
    <row r="64" spans="2:7" x14ac:dyDescent="0.3">
      <c r="B64" s="86"/>
      <c r="C64" s="76"/>
      <c r="D64" s="76"/>
      <c r="E64" s="86"/>
      <c r="F64" s="76"/>
      <c r="G64" s="76"/>
    </row>
    <row r="65" spans="2:7" x14ac:dyDescent="0.3">
      <c r="B65" s="86"/>
      <c r="C65" s="76"/>
      <c r="D65" s="76"/>
      <c r="E65" s="86"/>
      <c r="F65" s="76"/>
      <c r="G65" s="76"/>
    </row>
    <row r="66" spans="2:7" x14ac:dyDescent="0.3">
      <c r="B66" s="86"/>
      <c r="C66" s="76"/>
      <c r="D66" s="76"/>
      <c r="E66" s="86"/>
      <c r="F66" s="76"/>
      <c r="G66" s="76"/>
    </row>
    <row r="67" spans="2:7" x14ac:dyDescent="0.3">
      <c r="B67" s="86"/>
      <c r="C67" s="76"/>
      <c r="D67" s="76"/>
      <c r="E67" s="86"/>
      <c r="F67" s="76"/>
      <c r="G67" s="76"/>
    </row>
    <row r="68" spans="2:7" x14ac:dyDescent="0.3">
      <c r="B68" s="86"/>
      <c r="C68" s="76"/>
      <c r="D68" s="76"/>
      <c r="E68" s="86"/>
      <c r="F68" s="76"/>
      <c r="G68" s="76"/>
    </row>
    <row r="69" spans="2:7" x14ac:dyDescent="0.3">
      <c r="B69" s="86"/>
      <c r="C69" s="76"/>
      <c r="D69" s="76"/>
      <c r="E69" s="86"/>
      <c r="F69" s="76"/>
      <c r="G69" s="76"/>
    </row>
    <row r="70" spans="2:7" x14ac:dyDescent="0.3">
      <c r="B70" s="86"/>
      <c r="C70" s="76"/>
      <c r="D70" s="76"/>
      <c r="E70" s="86"/>
      <c r="F70" s="76"/>
      <c r="G70" s="76"/>
    </row>
    <row r="71" spans="2:7" x14ac:dyDescent="0.3">
      <c r="B71" s="86"/>
      <c r="C71" s="76"/>
      <c r="D71" s="76"/>
      <c r="E71" s="86"/>
      <c r="F71" s="76"/>
      <c r="G71" s="76"/>
    </row>
    <row r="72" spans="2:7" x14ac:dyDescent="0.3">
      <c r="B72" s="86"/>
      <c r="C72" s="76"/>
      <c r="D72" s="76"/>
      <c r="E72" s="86"/>
      <c r="F72" s="76"/>
      <c r="G72" s="76"/>
    </row>
    <row r="73" spans="2:7" x14ac:dyDescent="0.3">
      <c r="B73" s="86"/>
      <c r="C73" s="76"/>
      <c r="D73" s="76"/>
      <c r="E73" s="86"/>
      <c r="F73" s="76"/>
      <c r="G73" s="76"/>
    </row>
    <row r="74" spans="2:7" x14ac:dyDescent="0.3">
      <c r="B74" s="86"/>
      <c r="C74" s="76"/>
      <c r="D74" s="76"/>
      <c r="E74" s="86"/>
      <c r="F74" s="76"/>
      <c r="G74" s="76"/>
    </row>
    <row r="75" spans="2:7" x14ac:dyDescent="0.3">
      <c r="B75" s="86"/>
      <c r="C75" s="76"/>
      <c r="D75" s="76"/>
      <c r="E75" s="86"/>
      <c r="F75" s="76"/>
      <c r="G75" s="76"/>
    </row>
    <row r="76" spans="2:7" x14ac:dyDescent="0.3">
      <c r="B76" s="86"/>
      <c r="C76" s="76"/>
      <c r="D76" s="76"/>
      <c r="E76" s="86"/>
      <c r="F76" s="76"/>
      <c r="G76" s="76"/>
    </row>
    <row r="77" spans="2:7" x14ac:dyDescent="0.3">
      <c r="B77" s="86"/>
      <c r="C77" s="76"/>
      <c r="D77" s="76"/>
      <c r="E77" s="86"/>
      <c r="F77" s="76"/>
      <c r="G77" s="76"/>
    </row>
    <row r="78" spans="2:7" x14ac:dyDescent="0.3">
      <c r="B78" s="86"/>
      <c r="C78" s="76"/>
      <c r="D78" s="76"/>
      <c r="E78" s="86"/>
      <c r="F78" s="76"/>
      <c r="G78" s="76"/>
    </row>
    <row r="79" spans="2:7" x14ac:dyDescent="0.3">
      <c r="B79" s="86"/>
      <c r="C79" s="76"/>
      <c r="D79" s="76"/>
      <c r="E79" s="86"/>
      <c r="F79" s="76"/>
      <c r="G79" s="76"/>
    </row>
    <row r="80" spans="2:7" x14ac:dyDescent="0.3">
      <c r="B80" s="86"/>
      <c r="C80" s="76"/>
      <c r="D80" s="76"/>
      <c r="E80" s="86"/>
      <c r="F80" s="76"/>
      <c r="G80" s="76"/>
    </row>
    <row r="81" spans="2:7" x14ac:dyDescent="0.3">
      <c r="B81" s="86"/>
      <c r="C81" s="76"/>
      <c r="D81" s="76"/>
      <c r="E81" s="86"/>
      <c r="F81" s="76"/>
      <c r="G81" s="76"/>
    </row>
    <row r="82" spans="2:7" x14ac:dyDescent="0.3">
      <c r="B82" s="86"/>
      <c r="C82" s="76"/>
      <c r="D82" s="76"/>
      <c r="E82" s="86"/>
      <c r="F82" s="76"/>
      <c r="G82" s="76"/>
    </row>
    <row r="83" spans="2:7" x14ac:dyDescent="0.3">
      <c r="B83" s="86"/>
      <c r="C83" s="76"/>
      <c r="D83" s="76"/>
      <c r="E83" s="86"/>
      <c r="F83" s="76"/>
      <c r="G83" s="76"/>
    </row>
    <row r="84" spans="2:7" x14ac:dyDescent="0.3">
      <c r="B84" s="86"/>
      <c r="C84" s="76"/>
      <c r="D84" s="76"/>
      <c r="E84" s="86"/>
      <c r="F84" s="76"/>
      <c r="G84" s="76"/>
    </row>
    <row r="85" spans="2:7" x14ac:dyDescent="0.3">
      <c r="B85" s="86"/>
      <c r="C85" s="76"/>
      <c r="D85" s="76"/>
      <c r="E85" s="86"/>
      <c r="F85" s="76"/>
      <c r="G85" s="76"/>
    </row>
    <row r="86" spans="2:7" x14ac:dyDescent="0.3">
      <c r="B86" s="86"/>
      <c r="C86" s="76"/>
      <c r="D86" s="76"/>
      <c r="E86" s="86"/>
      <c r="F86" s="76"/>
      <c r="G86" s="76"/>
    </row>
    <row r="87" spans="2:7" x14ac:dyDescent="0.3">
      <c r="B87" s="86"/>
      <c r="C87" s="76"/>
      <c r="D87" s="76"/>
      <c r="E87" s="86"/>
      <c r="F87" s="76"/>
      <c r="G87" s="76"/>
    </row>
    <row r="88" spans="2:7" x14ac:dyDescent="0.3">
      <c r="B88" s="86"/>
      <c r="C88" s="76"/>
      <c r="D88" s="76"/>
      <c r="E88" s="86"/>
      <c r="F88" s="76"/>
      <c r="G88" s="76"/>
    </row>
    <row r="89" spans="2:7" x14ac:dyDescent="0.3">
      <c r="B89" s="86"/>
      <c r="C89" s="76"/>
      <c r="D89" s="76"/>
      <c r="E89" s="86"/>
      <c r="F89" s="76"/>
      <c r="G89" s="76"/>
    </row>
    <row r="90" spans="2:7" x14ac:dyDescent="0.3">
      <c r="B90" s="86"/>
      <c r="C90" s="76"/>
      <c r="D90" s="76"/>
      <c r="E90" s="86"/>
      <c r="F90" s="76"/>
      <c r="G90" s="76"/>
    </row>
    <row r="91" spans="2:7" x14ac:dyDescent="0.3">
      <c r="B91" s="86"/>
      <c r="C91" s="76"/>
      <c r="D91" s="76"/>
      <c r="E91" s="86"/>
      <c r="F91" s="76"/>
      <c r="G91" s="76"/>
    </row>
    <row r="92" spans="2:7" x14ac:dyDescent="0.3">
      <c r="B92" s="86"/>
      <c r="C92" s="76"/>
      <c r="D92" s="76"/>
      <c r="E92" s="86"/>
      <c r="F92" s="76"/>
      <c r="G92" s="76"/>
    </row>
    <row r="93" spans="2:7" x14ac:dyDescent="0.3">
      <c r="B93" s="86"/>
      <c r="C93" s="76"/>
      <c r="D93" s="76"/>
      <c r="E93" s="86"/>
      <c r="F93" s="76"/>
      <c r="G93" s="76"/>
    </row>
    <row r="94" spans="2:7" x14ac:dyDescent="0.3">
      <c r="B94" s="86"/>
      <c r="C94" s="76"/>
      <c r="D94" s="76"/>
      <c r="E94" s="86"/>
      <c r="F94" s="76"/>
      <c r="G94" s="76"/>
    </row>
    <row r="95" spans="2:7" x14ac:dyDescent="0.3">
      <c r="B95" s="86"/>
      <c r="C95" s="76"/>
      <c r="D95" s="76"/>
      <c r="E95" s="86"/>
      <c r="F95" s="76"/>
      <c r="G95" s="76"/>
    </row>
    <row r="96" spans="2:7" x14ac:dyDescent="0.3">
      <c r="B96" s="86"/>
      <c r="C96" s="76"/>
      <c r="D96" s="76"/>
      <c r="E96" s="86"/>
      <c r="F96" s="76"/>
      <c r="G96" s="76"/>
    </row>
    <row r="97" spans="2:7" x14ac:dyDescent="0.3">
      <c r="B97" s="86"/>
      <c r="C97" s="76"/>
      <c r="D97" s="76"/>
      <c r="E97" s="86"/>
      <c r="F97" s="76"/>
      <c r="G97" s="76"/>
    </row>
    <row r="98" spans="2:7" x14ac:dyDescent="0.3">
      <c r="B98" s="86"/>
      <c r="C98" s="76"/>
      <c r="D98" s="76"/>
      <c r="E98" s="86"/>
      <c r="F98" s="76"/>
      <c r="G98" s="76"/>
    </row>
    <row r="99" spans="2:7" x14ac:dyDescent="0.3">
      <c r="B99" s="86"/>
      <c r="C99" s="76"/>
      <c r="D99" s="76"/>
      <c r="E99" s="86"/>
      <c r="F99" s="76"/>
      <c r="G99" s="76"/>
    </row>
    <row r="100" spans="2:7" x14ac:dyDescent="0.3">
      <c r="B100" s="86"/>
      <c r="C100" s="76"/>
      <c r="D100" s="76"/>
      <c r="E100" s="86"/>
      <c r="F100" s="76"/>
      <c r="G100" s="76"/>
    </row>
    <row r="101" spans="2:7" x14ac:dyDescent="0.3">
      <c r="B101" s="86"/>
      <c r="C101" s="76"/>
      <c r="D101" s="76"/>
      <c r="E101" s="86"/>
      <c r="F101" s="76"/>
      <c r="G101" s="76"/>
    </row>
    <row r="102" spans="2:7" x14ac:dyDescent="0.3">
      <c r="B102" s="86"/>
      <c r="C102" s="76"/>
      <c r="D102" s="76"/>
      <c r="E102" s="86"/>
      <c r="F102" s="76"/>
      <c r="G102" s="76"/>
    </row>
    <row r="103" spans="2:7" x14ac:dyDescent="0.3">
      <c r="B103" s="86"/>
      <c r="C103" s="76"/>
      <c r="D103" s="76"/>
      <c r="E103" s="86"/>
      <c r="F103" s="76"/>
      <c r="G103" s="76"/>
    </row>
    <row r="104" spans="2:7" x14ac:dyDescent="0.3">
      <c r="B104" s="86"/>
      <c r="C104" s="76"/>
      <c r="D104" s="76"/>
      <c r="E104" s="86"/>
      <c r="F104" s="76"/>
      <c r="G104" s="76"/>
    </row>
    <row r="105" spans="2:7" x14ac:dyDescent="0.3">
      <c r="B105" s="86"/>
      <c r="C105" s="76"/>
      <c r="D105" s="76"/>
      <c r="E105" s="86"/>
      <c r="F105" s="76"/>
      <c r="G105" s="76"/>
    </row>
    <row r="106" spans="2:7" x14ac:dyDescent="0.3">
      <c r="B106" s="86"/>
      <c r="C106" s="76"/>
      <c r="D106" s="76"/>
      <c r="E106" s="86"/>
      <c r="F106" s="76"/>
      <c r="G106" s="76"/>
    </row>
    <row r="107" spans="2:7" x14ac:dyDescent="0.3">
      <c r="B107" s="86"/>
      <c r="C107" s="76"/>
      <c r="D107" s="76"/>
      <c r="E107" s="86"/>
      <c r="F107" s="76"/>
      <c r="G107" s="76"/>
    </row>
    <row r="108" spans="2:7" x14ac:dyDescent="0.3">
      <c r="B108" s="86"/>
      <c r="C108" s="76"/>
      <c r="D108" s="76"/>
      <c r="E108" s="86"/>
      <c r="F108" s="76"/>
      <c r="G108" s="76"/>
    </row>
    <row r="109" spans="2:7" x14ac:dyDescent="0.3">
      <c r="B109" s="86"/>
      <c r="C109" s="76"/>
      <c r="D109" s="76"/>
      <c r="E109" s="86"/>
      <c r="F109" s="76"/>
      <c r="G109" s="76"/>
    </row>
    <row r="110" spans="2:7" x14ac:dyDescent="0.3">
      <c r="B110" s="86"/>
      <c r="C110" s="76"/>
      <c r="D110" s="76"/>
      <c r="E110" s="86"/>
      <c r="F110" s="76"/>
      <c r="G110" s="76"/>
    </row>
    <row r="111" spans="2:7" x14ac:dyDescent="0.3">
      <c r="B111" s="86"/>
      <c r="C111" s="76"/>
      <c r="D111" s="76"/>
      <c r="E111" s="76"/>
      <c r="F111" s="76"/>
      <c r="G111" s="76"/>
    </row>
    <row r="112" spans="2:7" x14ac:dyDescent="0.3">
      <c r="B112" s="86"/>
      <c r="C112" s="76"/>
      <c r="D112" s="76"/>
      <c r="E112" s="76"/>
      <c r="F112" s="76"/>
      <c r="G112" s="76"/>
    </row>
    <row r="113" spans="2:7" x14ac:dyDescent="0.3">
      <c r="B113" s="86"/>
      <c r="C113" s="76"/>
      <c r="D113" s="76"/>
      <c r="E113" s="76"/>
      <c r="F113" s="76"/>
      <c r="G113" s="76"/>
    </row>
    <row r="114" spans="2:7" x14ac:dyDescent="0.3">
      <c r="B114" s="86"/>
      <c r="C114" s="76"/>
      <c r="D114" s="76"/>
      <c r="E114" s="76"/>
      <c r="F114" s="76"/>
      <c r="G114" s="76"/>
    </row>
    <row r="115" spans="2:7" x14ac:dyDescent="0.3">
      <c r="B115" s="86"/>
      <c r="C115" s="76"/>
      <c r="D115" s="76"/>
      <c r="E115" s="76"/>
      <c r="F115" s="76"/>
      <c r="G115" s="76"/>
    </row>
    <row r="116" spans="2:7" x14ac:dyDescent="0.3">
      <c r="B116" s="86"/>
      <c r="C116" s="76"/>
      <c r="D116" s="76"/>
      <c r="E116" s="76"/>
      <c r="F116" s="76"/>
      <c r="G116" s="76"/>
    </row>
    <row r="117" spans="2:7" x14ac:dyDescent="0.3">
      <c r="B117" s="86"/>
      <c r="C117" s="76"/>
      <c r="D117" s="76"/>
      <c r="E117" s="76"/>
      <c r="F117" s="76"/>
      <c r="G117" s="76"/>
    </row>
    <row r="118" spans="2:7" x14ac:dyDescent="0.3">
      <c r="B118" s="86"/>
      <c r="C118" s="76"/>
      <c r="D118" s="76"/>
      <c r="E118" s="76"/>
      <c r="F118" s="76"/>
      <c r="G118" s="76"/>
    </row>
    <row r="119" spans="2:7" x14ac:dyDescent="0.3">
      <c r="B119" s="86"/>
      <c r="C119" s="76"/>
      <c r="D119" s="76"/>
      <c r="E119" s="76"/>
      <c r="F119" s="76"/>
      <c r="G119" s="76"/>
    </row>
    <row r="120" spans="2:7" x14ac:dyDescent="0.3">
      <c r="B120" s="86"/>
      <c r="C120" s="76"/>
      <c r="D120" s="76"/>
      <c r="E120" s="76"/>
      <c r="F120" s="76"/>
      <c r="G120" s="76"/>
    </row>
    <row r="121" spans="2:7" x14ac:dyDescent="0.3">
      <c r="B121" s="86"/>
      <c r="C121" s="76"/>
      <c r="D121" s="76"/>
      <c r="E121" s="76"/>
      <c r="F121" s="76"/>
      <c r="G121" s="76"/>
    </row>
  </sheetData>
  <mergeCells count="41">
    <mergeCell ref="C38:D38"/>
    <mergeCell ref="C39:D39"/>
    <mergeCell ref="D42:G42"/>
    <mergeCell ref="A45:C45"/>
    <mergeCell ref="F51:G51"/>
    <mergeCell ref="C37:D37"/>
    <mergeCell ref="C26:D26"/>
    <mergeCell ref="C27:D27"/>
    <mergeCell ref="C28:D28"/>
    <mergeCell ref="C29:D29"/>
    <mergeCell ref="C30:D30"/>
    <mergeCell ref="C31:D31"/>
    <mergeCell ref="C32:D32"/>
    <mergeCell ref="C33:D33"/>
    <mergeCell ref="C34:D34"/>
    <mergeCell ref="C35:D35"/>
    <mergeCell ref="C36:D36"/>
    <mergeCell ref="C25:D25"/>
    <mergeCell ref="C14:D14"/>
    <mergeCell ref="C15:D15"/>
    <mergeCell ref="C16:D16"/>
    <mergeCell ref="C17:D17"/>
    <mergeCell ref="C18:D18"/>
    <mergeCell ref="C19:D19"/>
    <mergeCell ref="C20:D20"/>
    <mergeCell ref="C21:D21"/>
    <mergeCell ref="C22:D22"/>
    <mergeCell ref="C23:D23"/>
    <mergeCell ref="C24:D24"/>
    <mergeCell ref="D12:G12"/>
    <mergeCell ref="A3:C3"/>
    <mergeCell ref="D3:G3"/>
    <mergeCell ref="A4:C4"/>
    <mergeCell ref="D4:G4"/>
    <mergeCell ref="A5:E5"/>
    <mergeCell ref="C6:F6"/>
    <mergeCell ref="A7:G7"/>
    <mergeCell ref="C8:G8"/>
    <mergeCell ref="D9:G9"/>
    <mergeCell ref="F10:G10"/>
    <mergeCell ref="D11:G11"/>
  </mergeCells>
  <printOptions horizontalCentered="1" verticalCentered="1"/>
  <pageMargins left="0.51181102362204722" right="0.23622047244094491" top="0" bottom="0.23622047244094491" header="0.19685039370078741" footer="0.31496062992125984"/>
  <pageSetup paperSize="9" scale="94" orientation="portrait" r:id="rId1"/>
  <rowBreaks count="1" manualBreakCount="1">
    <brk id="26"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45</xdr:row>
                <xdr:rowOff>123825</xdr:rowOff>
              </from>
              <to>
                <xdr:col>3</xdr:col>
                <xdr:colOff>1209675</xdr:colOff>
                <xdr:row>50</xdr:row>
                <xdr:rowOff>19050</xdr:rowOff>
              </to>
            </anchor>
          </objectPr>
        </oleObject>
      </mc:Choice>
      <mc:Fallback>
        <oleObject progId="PBrush" shapeId="4403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76"/>
  <sheetViews>
    <sheetView view="pageBreakPreview" topLeftCell="A52" zoomScaleNormal="100" zoomScaleSheetLayoutView="100" workbookViewId="0">
      <selection activeCell="I57" sqref="I57"/>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5" width="9.140625" style="1"/>
    <col min="16" max="16384" width="9.140625" style="23"/>
  </cols>
  <sheetData>
    <row r="3" spans="1:15" ht="11.25" customHeight="1" x14ac:dyDescent="0.3"/>
    <row r="4" spans="1:15" ht="17.25" x14ac:dyDescent="0.25">
      <c r="A4" s="173" t="s">
        <v>43</v>
      </c>
      <c r="B4" s="173"/>
      <c r="C4" s="173"/>
      <c r="D4" s="173"/>
      <c r="E4" s="174" t="s">
        <v>17</v>
      </c>
      <c r="F4" s="174"/>
      <c r="G4" s="174"/>
      <c r="H4" s="174"/>
      <c r="I4" s="174"/>
      <c r="J4" s="174"/>
      <c r="K4" s="11"/>
      <c r="L4" s="11"/>
      <c r="M4" s="11"/>
      <c r="N4" s="11"/>
      <c r="O4" s="11"/>
    </row>
    <row r="5" spans="1:15" ht="17.25" x14ac:dyDescent="0.25">
      <c r="A5" s="175" t="s">
        <v>44</v>
      </c>
      <c r="B5" s="175"/>
      <c r="C5" s="175"/>
      <c r="D5" s="175"/>
      <c r="E5" s="174" t="s">
        <v>161</v>
      </c>
      <c r="F5" s="174"/>
      <c r="G5" s="174"/>
      <c r="H5" s="174"/>
      <c r="I5" s="174"/>
      <c r="J5" s="174"/>
      <c r="K5" s="3"/>
      <c r="L5" s="3"/>
      <c r="M5" s="3"/>
      <c r="N5" s="3"/>
      <c r="O5" s="3"/>
    </row>
    <row r="6" spans="1:15" x14ac:dyDescent="0.3">
      <c r="A6" s="159"/>
      <c r="B6" s="159"/>
      <c r="C6" s="159"/>
      <c r="D6" s="159"/>
      <c r="K6" s="11"/>
      <c r="L6" s="11"/>
      <c r="M6" s="11"/>
      <c r="N6" s="11"/>
      <c r="O6" s="11"/>
    </row>
    <row r="7" spans="1:15" x14ac:dyDescent="0.3">
      <c r="A7" s="162"/>
      <c r="B7" s="162"/>
      <c r="C7" s="162"/>
      <c r="D7" s="162"/>
      <c r="E7" s="172" t="s">
        <v>221</v>
      </c>
      <c r="F7" s="172"/>
      <c r="G7" s="172"/>
      <c r="H7" s="172"/>
      <c r="I7" s="172"/>
      <c r="J7" s="172"/>
      <c r="K7" s="11"/>
      <c r="L7" s="11"/>
      <c r="M7" s="11"/>
      <c r="N7" s="11"/>
      <c r="O7" s="11"/>
    </row>
    <row r="8" spans="1:15" x14ac:dyDescent="0.3">
      <c r="A8" s="42"/>
      <c r="B8" s="42"/>
      <c r="C8" s="42"/>
      <c r="D8" s="42"/>
      <c r="E8" s="43"/>
      <c r="F8" s="43"/>
      <c r="G8" s="43"/>
      <c r="H8" s="43"/>
      <c r="I8" s="43"/>
      <c r="J8" s="43"/>
      <c r="K8" s="11"/>
      <c r="L8" s="11"/>
      <c r="M8" s="11"/>
      <c r="N8" s="11"/>
      <c r="O8" s="11"/>
    </row>
    <row r="9" spans="1:15" x14ac:dyDescent="0.25">
      <c r="A9" s="169" t="s">
        <v>30</v>
      </c>
      <c r="B9" s="169"/>
      <c r="C9" s="169"/>
      <c r="D9" s="169"/>
      <c r="E9" s="169"/>
      <c r="F9" s="169"/>
      <c r="G9" s="169"/>
      <c r="H9" s="169"/>
      <c r="I9" s="169"/>
      <c r="J9" s="169"/>
      <c r="K9" s="11"/>
      <c r="L9" s="11"/>
      <c r="M9" s="11"/>
      <c r="N9" s="11"/>
      <c r="O9" s="11"/>
    </row>
    <row r="10" spans="1:15" ht="22.5" customHeight="1" x14ac:dyDescent="0.3">
      <c r="A10" s="21"/>
      <c r="B10" s="159" t="s">
        <v>173</v>
      </c>
      <c r="C10" s="159"/>
      <c r="D10" s="159"/>
      <c r="E10" s="159"/>
      <c r="F10" s="159"/>
      <c r="G10" s="159"/>
      <c r="H10" s="159"/>
      <c r="I10" s="159"/>
      <c r="J10" s="21"/>
      <c r="K10" s="11"/>
      <c r="L10" s="11"/>
      <c r="M10" s="11"/>
      <c r="N10" s="11"/>
      <c r="O10" s="11"/>
    </row>
    <row r="11" spans="1:15" x14ac:dyDescent="0.25">
      <c r="A11" s="44"/>
      <c r="B11" s="44"/>
      <c r="C11" s="44"/>
      <c r="D11" s="44"/>
      <c r="E11" s="44"/>
      <c r="F11" s="44"/>
      <c r="G11" s="44"/>
      <c r="H11" s="44"/>
      <c r="I11" s="44"/>
      <c r="J11" s="44"/>
      <c r="K11" s="11"/>
      <c r="L11" s="11"/>
      <c r="M11" s="11"/>
      <c r="N11" s="11"/>
      <c r="O11" s="11"/>
    </row>
    <row r="12" spans="1:15" x14ac:dyDescent="0.3">
      <c r="A12" s="162" t="s">
        <v>163</v>
      </c>
      <c r="B12" s="159"/>
      <c r="C12" s="159"/>
      <c r="D12" s="159"/>
      <c r="E12" s="22"/>
      <c r="F12" s="21"/>
      <c r="G12" s="21"/>
      <c r="H12" s="21"/>
      <c r="I12" s="21"/>
      <c r="J12" s="21"/>
      <c r="K12" s="11"/>
      <c r="L12" s="11"/>
      <c r="M12" s="11"/>
      <c r="N12" s="11"/>
      <c r="O12" s="11"/>
    </row>
    <row r="13" spans="1:15" x14ac:dyDescent="0.3">
      <c r="A13" s="162" t="s">
        <v>55</v>
      </c>
      <c r="B13" s="162"/>
      <c r="C13" s="25" t="s">
        <v>155</v>
      </c>
      <c r="F13" s="31" t="s">
        <v>13</v>
      </c>
      <c r="G13" s="25" t="s">
        <v>164</v>
      </c>
      <c r="H13" s="25"/>
      <c r="I13" s="25"/>
      <c r="J13" s="25"/>
      <c r="K13" s="11"/>
      <c r="L13" s="11"/>
      <c r="M13" s="11"/>
      <c r="N13" s="11"/>
      <c r="O13" s="11"/>
    </row>
    <row r="14" spans="1:15" ht="36.75" customHeight="1" x14ac:dyDescent="0.25">
      <c r="A14" s="170" t="s">
        <v>147</v>
      </c>
      <c r="B14" s="170"/>
      <c r="C14" s="170"/>
      <c r="D14" s="170"/>
      <c r="E14" s="170"/>
      <c r="F14" s="170"/>
      <c r="G14" s="170"/>
      <c r="H14" s="170"/>
      <c r="I14" s="170"/>
      <c r="J14" s="170"/>
      <c r="K14" s="11"/>
      <c r="L14" s="11"/>
      <c r="M14" s="11"/>
      <c r="N14" s="11"/>
      <c r="O14" s="11"/>
    </row>
    <row r="15" spans="1:15" x14ac:dyDescent="0.25">
      <c r="A15" s="170" t="s">
        <v>148</v>
      </c>
      <c r="B15" s="170"/>
      <c r="C15" s="170"/>
      <c r="D15" s="170"/>
      <c r="E15" s="170"/>
      <c r="F15" s="170"/>
      <c r="G15" s="170"/>
      <c r="H15" s="170"/>
      <c r="I15" s="170"/>
      <c r="J15" s="170"/>
      <c r="K15" s="11"/>
      <c r="L15" s="11"/>
      <c r="M15" s="11"/>
      <c r="N15" s="11"/>
      <c r="O15" s="11"/>
    </row>
    <row r="16" spans="1:15" ht="51" customHeight="1" x14ac:dyDescent="0.25">
      <c r="A16" s="171" t="str">
        <f>"          - Căn cứ Quyết định đưa người chấp hành án phạt tù đến nơi chấp hành án số "&amp;TTCHUNG!G19&amp;"  ngày "&amp;TTCHUNG!G21&amp;" của Cơ quan Quản lý THAHS - Bộ Công an;"</f>
        <v xml:space="preserve">          - Căn cứ Quyết định đưa người chấp hành án phạt tù đến nơi chấp hành án số   ngày  của Cơ quan Quản lý THAHS - Bộ Công an;</v>
      </c>
      <c r="B16" s="171"/>
      <c r="C16" s="171"/>
      <c r="D16" s="171"/>
      <c r="E16" s="171"/>
      <c r="F16" s="171"/>
      <c r="G16" s="171"/>
      <c r="H16" s="171"/>
      <c r="I16" s="171"/>
      <c r="J16" s="171"/>
      <c r="K16" s="11"/>
      <c r="L16" s="11"/>
      <c r="M16" s="11"/>
      <c r="N16" s="11"/>
      <c r="O16" s="11"/>
    </row>
    <row r="17" spans="1:15" x14ac:dyDescent="0.25">
      <c r="A17" s="170" t="s">
        <v>149</v>
      </c>
      <c r="B17" s="170"/>
      <c r="C17" s="170"/>
      <c r="D17" s="170"/>
      <c r="E17" s="170"/>
      <c r="F17" s="170"/>
      <c r="G17" s="170"/>
      <c r="H17" s="170"/>
      <c r="I17" s="170"/>
      <c r="J17" s="170"/>
      <c r="K17" s="11"/>
      <c r="L17" s="11"/>
      <c r="M17" s="11"/>
      <c r="N17" s="11"/>
      <c r="O17" s="11"/>
    </row>
    <row r="18" spans="1:15" ht="38.25" customHeight="1" x14ac:dyDescent="0.25">
      <c r="A18" s="169" t="s">
        <v>30</v>
      </c>
      <c r="B18" s="169"/>
      <c r="C18" s="169"/>
      <c r="D18" s="169"/>
      <c r="E18" s="169"/>
      <c r="F18" s="169"/>
      <c r="G18" s="169"/>
      <c r="H18" s="169"/>
      <c r="I18" s="169"/>
      <c r="J18" s="169"/>
      <c r="K18" s="11"/>
      <c r="L18" s="11"/>
      <c r="M18" s="11"/>
      <c r="N18" s="11"/>
      <c r="O18" s="11"/>
    </row>
    <row r="19" spans="1:15" x14ac:dyDescent="0.25">
      <c r="A19" s="51" t="s">
        <v>56</v>
      </c>
      <c r="B19" s="51"/>
      <c r="C19" s="51"/>
      <c r="D19" s="51"/>
      <c r="E19" s="51"/>
      <c r="F19" s="51" t="str">
        <f>TTCHUNG!C5</f>
        <v>Trần Văn Dương</v>
      </c>
      <c r="G19" s="51"/>
      <c r="H19" s="51"/>
      <c r="I19" s="51"/>
      <c r="J19" s="51"/>
      <c r="K19" s="11"/>
      <c r="L19" s="11"/>
      <c r="M19" s="11"/>
      <c r="N19" s="11"/>
      <c r="O19" s="11"/>
    </row>
    <row r="20" spans="1:15" x14ac:dyDescent="0.3">
      <c r="A20" s="162" t="s">
        <v>54</v>
      </c>
      <c r="B20" s="162"/>
      <c r="C20" s="25" t="str">
        <f>TTCHUNG!D26</f>
        <v>Đại uý</v>
      </c>
      <c r="E20" s="53" t="s">
        <v>13</v>
      </c>
      <c r="F20" s="40" t="str">
        <f>TTCHUNG!D27</f>
        <v>Cán bộ</v>
      </c>
      <c r="H20" s="53" t="s">
        <v>51</v>
      </c>
      <c r="I20" s="107" t="s">
        <v>166</v>
      </c>
      <c r="J20" s="51"/>
      <c r="K20" s="11"/>
      <c r="L20" s="11"/>
      <c r="M20" s="11"/>
      <c r="N20" s="11"/>
      <c r="O20" s="11"/>
    </row>
    <row r="21" spans="1:15" x14ac:dyDescent="0.3">
      <c r="A21" s="31" t="s">
        <v>52</v>
      </c>
      <c r="B21" s="22" t="s">
        <v>159</v>
      </c>
      <c r="C21" s="52"/>
      <c r="E21" s="53"/>
      <c r="F21" s="40"/>
      <c r="H21" s="53"/>
      <c r="I21" s="40"/>
      <c r="J21" s="51"/>
      <c r="K21" s="11"/>
      <c r="L21" s="11"/>
      <c r="M21" s="11"/>
      <c r="N21" s="11"/>
      <c r="O21" s="11"/>
    </row>
    <row r="22" spans="1:15" x14ac:dyDescent="0.3">
      <c r="A22" s="162" t="s">
        <v>20</v>
      </c>
      <c r="B22" s="162"/>
      <c r="C22" s="162"/>
      <c r="D22" s="22">
        <f>TTCHUNG!C7</f>
        <v>0</v>
      </c>
      <c r="G22" s="25"/>
      <c r="H22" s="166" t="s">
        <v>22</v>
      </c>
      <c r="I22" s="166"/>
      <c r="J22" s="81" t="str">
        <f>TTCHUNG!C9</f>
        <v/>
      </c>
    </row>
    <row r="23" spans="1:15" x14ac:dyDescent="0.3">
      <c r="A23" s="162" t="s">
        <v>53</v>
      </c>
      <c r="B23" s="162"/>
      <c r="C23" s="162"/>
      <c r="D23" s="25">
        <f>TTCHUNG!C11</f>
        <v>0</v>
      </c>
      <c r="E23" s="25"/>
      <c r="F23" s="25"/>
      <c r="G23" s="25"/>
      <c r="H23" s="25"/>
      <c r="I23" s="25"/>
      <c r="J23" s="25"/>
    </row>
    <row r="24" spans="1:15" ht="19.5" x14ac:dyDescent="0.35">
      <c r="A24" s="54" t="s">
        <v>59</v>
      </c>
      <c r="B24" s="25"/>
      <c r="C24" s="25"/>
      <c r="D24" s="33">
        <f>TTCHUNG!C13</f>
        <v>0</v>
      </c>
      <c r="F24" s="25"/>
      <c r="G24" s="25"/>
      <c r="H24" s="25"/>
      <c r="I24" s="25"/>
      <c r="J24" s="25"/>
      <c r="K24" s="11"/>
      <c r="L24" s="11"/>
      <c r="M24" s="11"/>
      <c r="N24" s="11"/>
      <c r="O24" s="11"/>
    </row>
    <row r="25" spans="1:15" ht="19.5" customHeight="1" x14ac:dyDescent="0.3">
      <c r="A25" s="166" t="s">
        <v>75</v>
      </c>
      <c r="B25" s="166"/>
      <c r="C25" s="168" t="str">
        <f>TTCHUNG!C14</f>
        <v/>
      </c>
      <c r="D25" s="163"/>
      <c r="E25" s="163"/>
      <c r="F25" s="25"/>
      <c r="G25" s="25"/>
      <c r="H25" s="31"/>
      <c r="I25" s="31"/>
      <c r="J25" s="25"/>
      <c r="K25" s="11"/>
      <c r="L25" s="11"/>
      <c r="M25" s="11"/>
      <c r="N25" s="11"/>
      <c r="O25" s="11"/>
    </row>
    <row r="26" spans="1:15" x14ac:dyDescent="0.25">
      <c r="A26" s="51" t="s">
        <v>57</v>
      </c>
      <c r="B26" s="40"/>
      <c r="C26" s="40"/>
      <c r="D26" s="40"/>
      <c r="E26" s="164" t="str">
        <f>F19</f>
        <v>Trần Văn Dương</v>
      </c>
      <c r="F26" s="164"/>
      <c r="G26" s="40" t="s">
        <v>58</v>
      </c>
      <c r="H26" s="40"/>
      <c r="I26" s="40"/>
      <c r="J26" s="40"/>
      <c r="K26" s="11"/>
      <c r="L26" s="11"/>
      <c r="M26" s="11"/>
      <c r="N26" s="11"/>
      <c r="O26" s="11"/>
    </row>
    <row r="27" spans="1:15" s="55" customFormat="1" x14ac:dyDescent="0.3">
      <c r="A27" s="25" t="s">
        <v>61</v>
      </c>
      <c r="K27" s="11"/>
      <c r="L27" s="11"/>
      <c r="M27" s="11"/>
      <c r="N27" s="11"/>
      <c r="O27" s="11"/>
    </row>
    <row r="28" spans="1:15" s="55" customFormat="1" x14ac:dyDescent="0.3">
      <c r="A28" s="25"/>
      <c r="K28" s="11"/>
      <c r="L28" s="11"/>
      <c r="M28" s="11"/>
      <c r="N28" s="11"/>
      <c r="O28" s="11"/>
    </row>
    <row r="29" spans="1:15" x14ac:dyDescent="0.3">
      <c r="A29" s="167"/>
      <c r="B29" s="167"/>
      <c r="C29" s="167"/>
      <c r="D29" s="167"/>
      <c r="E29" s="167"/>
      <c r="F29" s="165" t="s">
        <v>60</v>
      </c>
      <c r="G29" s="165"/>
      <c r="H29" s="165"/>
      <c r="I29" s="165"/>
      <c r="J29" s="165"/>
    </row>
    <row r="30" spans="1:15" ht="18.75" customHeight="1" x14ac:dyDescent="0.3">
      <c r="A30" s="160"/>
      <c r="B30" s="160"/>
      <c r="C30" s="160"/>
      <c r="D30" s="160"/>
      <c r="E30" s="160"/>
      <c r="F30" s="160" t="s">
        <v>151</v>
      </c>
      <c r="G30" s="160"/>
      <c r="H30" s="160"/>
      <c r="I30" s="160"/>
      <c r="J30" s="160"/>
    </row>
    <row r="31" spans="1:15" x14ac:dyDescent="0.3">
      <c r="H31" s="27"/>
    </row>
    <row r="32" spans="1:15" x14ac:dyDescent="0.3">
      <c r="A32" s="24"/>
      <c r="H32" s="28"/>
    </row>
    <row r="33" spans="1:10" x14ac:dyDescent="0.3">
      <c r="A33" s="24"/>
      <c r="H33" s="28"/>
    </row>
    <row r="34" spans="1:10" x14ac:dyDescent="0.3">
      <c r="H34" s="28"/>
    </row>
    <row r="35" spans="1:10" x14ac:dyDescent="0.3">
      <c r="H35" s="26"/>
    </row>
    <row r="36" spans="1:10" x14ac:dyDescent="0.3">
      <c r="A36" s="29"/>
      <c r="F36" s="159" t="s">
        <v>171</v>
      </c>
      <c r="G36" s="159"/>
      <c r="H36" s="159"/>
      <c r="I36" s="159"/>
      <c r="J36" s="159"/>
    </row>
    <row r="37" spans="1:10" x14ac:dyDescent="0.3">
      <c r="A37" s="29"/>
    </row>
    <row r="41" spans="1:10" ht="13.5" customHeight="1" x14ac:dyDescent="0.3"/>
    <row r="42" spans="1:10" ht="18.75" customHeight="1" x14ac:dyDescent="0.3">
      <c r="A42" s="165" t="s">
        <v>62</v>
      </c>
      <c r="B42" s="165"/>
      <c r="C42" s="165"/>
      <c r="D42" s="165"/>
      <c r="E42" s="165"/>
      <c r="F42" s="165"/>
      <c r="G42" s="165"/>
      <c r="H42" s="165"/>
      <c r="I42" s="165"/>
      <c r="J42" s="165"/>
    </row>
    <row r="44" spans="1:10" x14ac:dyDescent="0.3">
      <c r="A44" s="159" t="s">
        <v>211</v>
      </c>
      <c r="B44" s="159"/>
      <c r="C44" s="159"/>
      <c r="D44" s="159"/>
      <c r="E44" s="159"/>
      <c r="F44" s="42" t="s">
        <v>12</v>
      </c>
      <c r="G44" s="163" t="s">
        <v>210</v>
      </c>
      <c r="H44" s="163"/>
      <c r="I44" s="21"/>
      <c r="J44" s="21"/>
    </row>
    <row r="45" spans="1:10" x14ac:dyDescent="0.3">
      <c r="A45" s="162" t="s">
        <v>63</v>
      </c>
      <c r="B45" s="162"/>
      <c r="C45" s="162"/>
      <c r="D45" s="25" t="s">
        <v>15</v>
      </c>
    </row>
    <row r="46" spans="1:10" x14ac:dyDescent="0.3">
      <c r="A46" s="162" t="s">
        <v>64</v>
      </c>
      <c r="B46" s="162"/>
      <c r="C46" s="162"/>
      <c r="D46" s="25" t="s">
        <v>172</v>
      </c>
    </row>
    <row r="47" spans="1:10" x14ac:dyDescent="0.3">
      <c r="A47" s="162" t="s">
        <v>150</v>
      </c>
      <c r="B47" s="162"/>
      <c r="C47" s="162"/>
      <c r="D47" s="162"/>
      <c r="E47" s="25" t="s">
        <v>66</v>
      </c>
    </row>
    <row r="48" spans="1:10" x14ac:dyDescent="0.3">
      <c r="A48" s="25" t="s">
        <v>65</v>
      </c>
      <c r="B48" s="25"/>
      <c r="C48" s="25"/>
      <c r="D48" s="25"/>
      <c r="E48" s="25"/>
    </row>
    <row r="49" spans="1:6" x14ac:dyDescent="0.3">
      <c r="A49" s="25" t="s">
        <v>67</v>
      </c>
    </row>
    <row r="50" spans="1:6" x14ac:dyDescent="0.3">
      <c r="A50" s="22" t="s">
        <v>68</v>
      </c>
      <c r="E50" s="58" t="str">
        <f>TTCHUNG!C4</f>
        <v>1610GP0925/225CO</v>
      </c>
    </row>
    <row r="51" spans="1:6" x14ac:dyDescent="0.3">
      <c r="A51" s="25" t="s">
        <v>69</v>
      </c>
    </row>
    <row r="52" spans="1:6" x14ac:dyDescent="0.3">
      <c r="A52" s="25" t="s">
        <v>71</v>
      </c>
    </row>
    <row r="53" spans="1:6" x14ac:dyDescent="0.3">
      <c r="A53" s="25" t="s">
        <v>70</v>
      </c>
      <c r="B53" s="59"/>
      <c r="F53" s="57"/>
    </row>
    <row r="54" spans="1:6" ht="21.95" customHeight="1" x14ac:dyDescent="0.3">
      <c r="A54" s="4" t="s">
        <v>72</v>
      </c>
    </row>
    <row r="55" spans="1:6" ht="21.95" customHeight="1" x14ac:dyDescent="0.3">
      <c r="A55" s="4" t="s">
        <v>72</v>
      </c>
    </row>
    <row r="56" spans="1:6" ht="21.95" customHeight="1" x14ac:dyDescent="0.3">
      <c r="A56" s="4" t="s">
        <v>72</v>
      </c>
    </row>
    <row r="57" spans="1:6" ht="21.95" customHeight="1" x14ac:dyDescent="0.3">
      <c r="A57" s="4" t="s">
        <v>72</v>
      </c>
    </row>
    <row r="58" spans="1:6" ht="21.95" customHeight="1" x14ac:dyDescent="0.3">
      <c r="A58" s="4" t="s">
        <v>72</v>
      </c>
    </row>
    <row r="59" spans="1:6" ht="21.95" customHeight="1" x14ac:dyDescent="0.3">
      <c r="A59" s="4" t="s">
        <v>72</v>
      </c>
    </row>
    <row r="60" spans="1:6" ht="21.95" customHeight="1" x14ac:dyDescent="0.3">
      <c r="A60" s="4" t="s">
        <v>72</v>
      </c>
    </row>
    <row r="61" spans="1:6" ht="21.95" customHeight="1" x14ac:dyDescent="0.3">
      <c r="A61" s="4" t="s">
        <v>72</v>
      </c>
    </row>
    <row r="62" spans="1:6" ht="21.95" customHeight="1" x14ac:dyDescent="0.3">
      <c r="A62" s="4" t="s">
        <v>72</v>
      </c>
    </row>
    <row r="63" spans="1:6" ht="21.95" customHeight="1" x14ac:dyDescent="0.3">
      <c r="A63" s="4" t="s">
        <v>72</v>
      </c>
    </row>
    <row r="64" spans="1:6" ht="21.95" customHeight="1" x14ac:dyDescent="0.3">
      <c r="A64" s="4" t="s">
        <v>72</v>
      </c>
    </row>
    <row r="65" spans="1:15" ht="21.95" customHeight="1" x14ac:dyDescent="0.3">
      <c r="A65" s="4" t="s">
        <v>72</v>
      </c>
    </row>
    <row r="66" spans="1:15" ht="21.95" customHeight="1" x14ac:dyDescent="0.3">
      <c r="A66" s="4" t="s">
        <v>72</v>
      </c>
    </row>
    <row r="68" spans="1:15" s="22" customFormat="1" x14ac:dyDescent="0.3">
      <c r="A68" s="159" t="s">
        <v>152</v>
      </c>
      <c r="B68" s="159"/>
      <c r="C68" s="159"/>
      <c r="D68" s="159"/>
      <c r="E68" s="159"/>
      <c r="F68" s="159" t="s">
        <v>73</v>
      </c>
      <c r="G68" s="159"/>
      <c r="H68" s="159"/>
      <c r="I68" s="159"/>
      <c r="J68" s="159"/>
      <c r="K68" s="1"/>
      <c r="L68" s="1"/>
      <c r="M68" s="1"/>
      <c r="N68" s="1"/>
      <c r="O68" s="1"/>
    </row>
    <row r="69" spans="1:15" s="60" customFormat="1" x14ac:dyDescent="0.3">
      <c r="A69" s="160" t="s">
        <v>151</v>
      </c>
      <c r="B69" s="160"/>
      <c r="C69" s="160"/>
      <c r="D69" s="160"/>
      <c r="E69" s="160"/>
      <c r="F69" s="161" t="s">
        <v>23</v>
      </c>
      <c r="G69" s="161"/>
      <c r="H69" s="161"/>
      <c r="I69" s="161"/>
      <c r="J69" s="161"/>
      <c r="K69" s="1"/>
      <c r="L69" s="1"/>
      <c r="M69" s="1"/>
      <c r="N69" s="1"/>
      <c r="O69" s="1"/>
    </row>
    <row r="70" spans="1:15" s="22" customFormat="1" x14ac:dyDescent="0.3">
      <c r="K70" s="1"/>
      <c r="L70" s="1"/>
      <c r="M70" s="1"/>
      <c r="N70" s="1"/>
      <c r="O70" s="1"/>
    </row>
    <row r="71" spans="1:15" s="22" customFormat="1" x14ac:dyDescent="0.3">
      <c r="K71" s="1"/>
      <c r="L71" s="1"/>
      <c r="M71" s="1"/>
      <c r="N71" s="1"/>
      <c r="O71" s="1"/>
    </row>
    <row r="72" spans="1:15" s="22" customFormat="1" x14ac:dyDescent="0.3">
      <c r="K72" s="1"/>
      <c r="L72" s="1"/>
      <c r="M72" s="1"/>
      <c r="N72" s="1"/>
      <c r="O72" s="1"/>
    </row>
    <row r="73" spans="1:15" s="22" customFormat="1" x14ac:dyDescent="0.3">
      <c r="K73" s="1"/>
      <c r="L73" s="1"/>
      <c r="M73" s="1"/>
      <c r="N73" s="1"/>
      <c r="O73" s="1"/>
    </row>
    <row r="74" spans="1:15" s="22" customFormat="1" x14ac:dyDescent="0.3">
      <c r="K74" s="1"/>
      <c r="L74" s="1"/>
      <c r="M74" s="1"/>
      <c r="N74" s="1"/>
      <c r="O74" s="1"/>
    </row>
    <row r="75" spans="1:15" s="22" customFormat="1" x14ac:dyDescent="0.3">
      <c r="K75" s="1"/>
      <c r="L75" s="1"/>
      <c r="M75" s="1"/>
      <c r="N75" s="1"/>
      <c r="O75" s="1"/>
    </row>
    <row r="76" spans="1:15" s="22" customFormat="1" x14ac:dyDescent="0.3">
      <c r="K76" s="1"/>
      <c r="L76" s="1"/>
      <c r="M76" s="1"/>
      <c r="N76" s="1"/>
      <c r="O76" s="1"/>
    </row>
  </sheetData>
  <mergeCells count="38">
    <mergeCell ref="A46:C46"/>
    <mergeCell ref="A47:D47"/>
    <mergeCell ref="A68:E68"/>
    <mergeCell ref="F68:J68"/>
    <mergeCell ref="A69:E69"/>
    <mergeCell ref="F69:J69"/>
    <mergeCell ref="A45:C45"/>
    <mergeCell ref="A23:C23"/>
    <mergeCell ref="A25:B25"/>
    <mergeCell ref="C25:E25"/>
    <mergeCell ref="E26:F26"/>
    <mergeCell ref="A29:E29"/>
    <mergeCell ref="F29:J29"/>
    <mergeCell ref="F36:J36"/>
    <mergeCell ref="A30:E30"/>
    <mergeCell ref="F30:J30"/>
    <mergeCell ref="A42:J42"/>
    <mergeCell ref="A44:E44"/>
    <mergeCell ref="G44:H44"/>
    <mergeCell ref="A16:J16"/>
    <mergeCell ref="A17:J17"/>
    <mergeCell ref="A18:J18"/>
    <mergeCell ref="A20:B20"/>
    <mergeCell ref="A22:C22"/>
    <mergeCell ref="H22:I22"/>
    <mergeCell ref="A15:J15"/>
    <mergeCell ref="A4:D4"/>
    <mergeCell ref="E4:J4"/>
    <mergeCell ref="A5:D5"/>
    <mergeCell ref="E5:J5"/>
    <mergeCell ref="A6:D6"/>
    <mergeCell ref="A7:D7"/>
    <mergeCell ref="E7:J7"/>
    <mergeCell ref="A9:J9"/>
    <mergeCell ref="B10:I10"/>
    <mergeCell ref="A12:D12"/>
    <mergeCell ref="A13:B13"/>
    <mergeCell ref="A14:J14"/>
  </mergeCells>
  <printOptions horizontalCentered="1" verticalCentered="1"/>
  <pageMargins left="0.7" right="0.25" top="0" bottom="0.2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3:M41"/>
  <sheetViews>
    <sheetView tabSelected="1" view="pageBreakPreview" topLeftCell="A28" zoomScaleNormal="100" zoomScaleSheetLayoutView="100" workbookViewId="0">
      <selection activeCell="I31" sqref="I31"/>
    </sheetView>
  </sheetViews>
  <sheetFormatPr defaultColWidth="9.140625" defaultRowHeight="15" x14ac:dyDescent="0.25"/>
  <cols>
    <col min="1" max="1" width="1.85546875" style="23" customWidth="1"/>
    <col min="2" max="2" width="6.140625" style="23" customWidth="1"/>
    <col min="3" max="3" width="5.85546875" style="23" customWidth="1"/>
    <col min="4" max="4" width="11.7109375" style="23" customWidth="1"/>
    <col min="5" max="5" width="3" style="23" customWidth="1"/>
    <col min="6" max="6" width="6.42578125" style="23" customWidth="1"/>
    <col min="7" max="7" width="6.7109375" style="23" customWidth="1"/>
    <col min="8" max="8" width="7.85546875" style="23" customWidth="1"/>
    <col min="9" max="9" width="10.5703125" style="23" customWidth="1"/>
    <col min="10" max="10" width="6.42578125" style="23" customWidth="1"/>
    <col min="11" max="11" width="5.28515625" style="23" customWidth="1"/>
    <col min="12" max="12" width="6" style="23" customWidth="1"/>
    <col min="13" max="13" width="16.5703125" style="23" customWidth="1"/>
    <col min="14" max="16384" width="9.140625" style="23"/>
  </cols>
  <sheetData>
    <row r="3" spans="2:13" ht="11.25" customHeight="1" x14ac:dyDescent="0.25"/>
    <row r="4" spans="2:13" ht="17.25" x14ac:dyDescent="0.25">
      <c r="C4" s="174" t="s">
        <v>17</v>
      </c>
      <c r="D4" s="174"/>
      <c r="E4" s="174"/>
      <c r="F4" s="174"/>
      <c r="G4" s="174"/>
      <c r="H4" s="174"/>
      <c r="I4" s="174"/>
      <c r="J4" s="174"/>
      <c r="K4" s="174"/>
      <c r="L4" s="174"/>
      <c r="M4" s="174"/>
    </row>
    <row r="5" spans="2:13" ht="17.25" x14ac:dyDescent="0.25">
      <c r="C5" s="174" t="s">
        <v>175</v>
      </c>
      <c r="D5" s="174"/>
      <c r="E5" s="174"/>
      <c r="F5" s="174"/>
      <c r="G5" s="174"/>
      <c r="H5" s="174"/>
      <c r="I5" s="174"/>
      <c r="J5" s="174"/>
      <c r="K5" s="174"/>
      <c r="L5" s="174"/>
      <c r="M5" s="174"/>
    </row>
    <row r="6" spans="2:13" ht="18.75" x14ac:dyDescent="0.3">
      <c r="C6" s="159"/>
      <c r="D6" s="159"/>
      <c r="E6" s="159"/>
      <c r="F6" s="159"/>
      <c r="G6" s="159"/>
    </row>
    <row r="7" spans="2:13" ht="18.75" x14ac:dyDescent="0.25">
      <c r="C7" s="169" t="s">
        <v>176</v>
      </c>
      <c r="D7" s="169"/>
      <c r="E7" s="169"/>
      <c r="F7" s="169"/>
      <c r="G7" s="169"/>
      <c r="H7" s="169"/>
      <c r="I7" s="169"/>
      <c r="J7" s="169"/>
      <c r="K7" s="169"/>
      <c r="L7" s="169"/>
      <c r="M7" s="169"/>
    </row>
    <row r="8" spans="2:13" ht="18.75" x14ac:dyDescent="0.25">
      <c r="C8" s="44"/>
      <c r="D8" s="44"/>
      <c r="E8" s="44"/>
      <c r="F8" s="44"/>
      <c r="G8" s="44"/>
      <c r="H8" s="44"/>
      <c r="I8" s="44"/>
      <c r="J8" s="44"/>
      <c r="K8" s="44"/>
      <c r="L8" s="44"/>
      <c r="M8" s="44"/>
    </row>
    <row r="9" spans="2:13" ht="68.25" customHeight="1" x14ac:dyDescent="0.25">
      <c r="B9" s="202" t="s">
        <v>177</v>
      </c>
      <c r="C9" s="170"/>
      <c r="D9" s="170"/>
      <c r="E9" s="170"/>
      <c r="F9" s="170"/>
      <c r="G9" s="170"/>
      <c r="H9" s="170"/>
      <c r="I9" s="170"/>
      <c r="J9" s="170"/>
      <c r="K9" s="170"/>
      <c r="L9" s="170"/>
      <c r="M9" s="170"/>
    </row>
    <row r="10" spans="2:13" ht="18.75" customHeight="1" x14ac:dyDescent="0.25">
      <c r="B10" s="40" t="s">
        <v>178</v>
      </c>
      <c r="E10" s="40"/>
      <c r="F10" s="40"/>
      <c r="G10" s="40"/>
      <c r="H10" s="40"/>
      <c r="I10" s="40"/>
      <c r="J10" s="40"/>
      <c r="K10" s="40"/>
      <c r="L10" s="40"/>
      <c r="M10" s="40"/>
    </row>
    <row r="11" spans="2:13" ht="18.75" customHeight="1" x14ac:dyDescent="0.25">
      <c r="B11" s="40" t="s">
        <v>179</v>
      </c>
      <c r="C11" s="40"/>
      <c r="E11" s="40"/>
      <c r="F11" s="40"/>
      <c r="G11" s="40"/>
      <c r="H11" s="40"/>
      <c r="I11" s="40"/>
      <c r="J11" s="40"/>
      <c r="K11" s="40"/>
      <c r="L11" s="40"/>
      <c r="M11" s="40"/>
    </row>
    <row r="12" spans="2:13" ht="18.75" customHeight="1" x14ac:dyDescent="0.25">
      <c r="B12" s="40" t="s">
        <v>180</v>
      </c>
      <c r="D12" s="51" t="str">
        <f>TTCHUNG!C5</f>
        <v>Trần Văn Dương</v>
      </c>
      <c r="E12" s="40"/>
      <c r="F12" s="40"/>
      <c r="G12" s="40" t="s">
        <v>181</v>
      </c>
      <c r="H12" s="40"/>
      <c r="I12" s="51" t="str">
        <f>TTCHUNG!D26</f>
        <v>Đại uý</v>
      </c>
      <c r="J12" s="51"/>
      <c r="K12" s="40" t="s">
        <v>182</v>
      </c>
      <c r="L12" s="40"/>
      <c r="M12" s="51" t="str">
        <f>TTCHUNG!D27</f>
        <v>Cán bộ</v>
      </c>
    </row>
    <row r="13" spans="2:13" ht="18.75" customHeight="1" x14ac:dyDescent="0.25">
      <c r="B13" s="40" t="s">
        <v>42</v>
      </c>
      <c r="D13" s="51"/>
      <c r="E13" s="190">
        <f>TTCHUNG!C23</f>
        <v>0</v>
      </c>
      <c r="F13" s="190"/>
      <c r="G13" s="190"/>
      <c r="H13" s="190"/>
      <c r="I13" s="190"/>
      <c r="J13" s="190"/>
      <c r="K13" s="190"/>
      <c r="L13" s="190"/>
      <c r="M13" s="190"/>
    </row>
    <row r="14" spans="2:13" ht="18.75" customHeight="1" x14ac:dyDescent="0.25">
      <c r="B14" s="40" t="s">
        <v>183</v>
      </c>
      <c r="E14" s="40"/>
      <c r="F14" s="40"/>
      <c r="G14" s="40"/>
      <c r="H14" s="40"/>
      <c r="I14" s="40"/>
      <c r="J14" s="40"/>
      <c r="K14" s="40"/>
      <c r="L14" s="40"/>
      <c r="M14" s="40"/>
    </row>
    <row r="15" spans="2:13" s="109" customFormat="1" ht="18.75" customHeight="1" x14ac:dyDescent="0.3">
      <c r="B15" s="108" t="s">
        <v>181</v>
      </c>
      <c r="D15" s="108" t="s">
        <v>184</v>
      </c>
      <c r="E15" s="108"/>
      <c r="F15" s="108"/>
      <c r="G15" s="108"/>
      <c r="I15" s="108" t="s">
        <v>185</v>
      </c>
      <c r="J15" s="205" t="s">
        <v>186</v>
      </c>
      <c r="K15" s="205"/>
      <c r="L15" s="205"/>
      <c r="M15" s="205"/>
    </row>
    <row r="16" spans="2:13" s="109" customFormat="1" ht="18.75" customHeight="1" x14ac:dyDescent="0.3">
      <c r="B16" s="108" t="s">
        <v>187</v>
      </c>
      <c r="C16" s="40"/>
      <c r="D16" s="40" t="s">
        <v>209</v>
      </c>
      <c r="E16" s="108"/>
      <c r="F16" s="108"/>
      <c r="G16" s="108"/>
      <c r="I16" s="108"/>
      <c r="J16" s="40"/>
      <c r="K16" s="108"/>
      <c r="L16" s="108"/>
      <c r="M16" s="108"/>
    </row>
    <row r="17" spans="1:13" ht="24.75" customHeight="1" x14ac:dyDescent="0.25">
      <c r="B17" s="108" t="s">
        <v>188</v>
      </c>
      <c r="C17" s="51"/>
      <c r="D17" s="51"/>
      <c r="E17" s="51"/>
      <c r="F17" s="51"/>
      <c r="G17" s="51"/>
      <c r="H17" s="51"/>
      <c r="I17" s="51"/>
      <c r="J17" s="51"/>
      <c r="K17" s="51"/>
      <c r="L17" s="51"/>
      <c r="M17" s="51"/>
    </row>
    <row r="18" spans="1:13" s="110" customFormat="1" ht="18.75" x14ac:dyDescent="0.25">
      <c r="B18" s="111" t="s">
        <v>76</v>
      </c>
      <c r="C18" s="206" t="s">
        <v>189</v>
      </c>
      <c r="D18" s="207"/>
      <c r="E18" s="207"/>
      <c r="F18" s="207"/>
      <c r="G18" s="207"/>
      <c r="H18" s="206" t="s">
        <v>190</v>
      </c>
      <c r="I18" s="208"/>
      <c r="J18" s="209" t="s">
        <v>191</v>
      </c>
      <c r="K18" s="209"/>
      <c r="L18" s="209"/>
      <c r="M18" s="112" t="s">
        <v>192</v>
      </c>
    </row>
    <row r="19" spans="1:13" s="76" customFormat="1" ht="18.75" customHeight="1" x14ac:dyDescent="0.3">
      <c r="B19" s="113" t="s">
        <v>193</v>
      </c>
      <c r="C19" s="114">
        <f>TTCHUNG!C7</f>
        <v>0</v>
      </c>
      <c r="D19" s="115"/>
      <c r="E19" s="116"/>
      <c r="F19" s="117"/>
      <c r="G19" s="118" t="str">
        <f>RIGHT(TTCHUNG!C9,5)</f>
        <v/>
      </c>
      <c r="H19" s="210" t="str">
        <f>TTCHUNG!C4</f>
        <v>1610GP0925/225CO</v>
      </c>
      <c r="I19" s="210"/>
      <c r="J19" s="210"/>
      <c r="K19" s="210"/>
      <c r="L19" s="210"/>
      <c r="M19" s="119" t="s">
        <v>194</v>
      </c>
    </row>
    <row r="20" spans="1:13" s="76" customFormat="1" ht="16.5" customHeight="1" x14ac:dyDescent="0.25">
      <c r="B20" s="120" t="s">
        <v>195</v>
      </c>
      <c r="C20" s="214">
        <f>TTCHUNG!C11</f>
        <v>0</v>
      </c>
      <c r="D20" s="215"/>
      <c r="E20" s="215"/>
      <c r="F20" s="215"/>
      <c r="G20" s="216"/>
      <c r="H20" s="211"/>
      <c r="I20" s="211"/>
      <c r="J20" s="211"/>
      <c r="K20" s="211"/>
      <c r="L20" s="211"/>
      <c r="M20" s="220" t="s">
        <v>196</v>
      </c>
    </row>
    <row r="21" spans="1:13" s="76" customFormat="1" x14ac:dyDescent="0.25">
      <c r="B21" s="120"/>
      <c r="C21" s="217"/>
      <c r="D21" s="218"/>
      <c r="E21" s="218"/>
      <c r="F21" s="218"/>
      <c r="G21" s="219"/>
      <c r="H21" s="211"/>
      <c r="I21" s="211"/>
      <c r="J21" s="211"/>
      <c r="K21" s="211"/>
      <c r="L21" s="211"/>
      <c r="M21" s="220"/>
    </row>
    <row r="22" spans="1:13" s="76" customFormat="1" ht="17.25" customHeight="1" x14ac:dyDescent="0.25">
      <c r="B22" s="120" t="s">
        <v>197</v>
      </c>
      <c r="C22" s="221">
        <f>TTCHUNG!C13</f>
        <v>0</v>
      </c>
      <c r="D22" s="222"/>
      <c r="E22" s="222"/>
      <c r="F22" s="222"/>
      <c r="G22" s="223"/>
      <c r="H22" s="211"/>
      <c r="I22" s="211"/>
      <c r="J22" s="211"/>
      <c r="K22" s="211"/>
      <c r="L22" s="211"/>
      <c r="M22" s="120"/>
    </row>
    <row r="23" spans="1:13" s="76" customFormat="1" ht="32.25" customHeight="1" x14ac:dyDescent="0.25">
      <c r="B23" s="121"/>
      <c r="C23" s="224"/>
      <c r="D23" s="225"/>
      <c r="E23" s="225"/>
      <c r="F23" s="225"/>
      <c r="G23" s="226"/>
      <c r="H23" s="212"/>
      <c r="I23" s="212"/>
      <c r="J23" s="212"/>
      <c r="K23" s="212"/>
      <c r="L23" s="212"/>
      <c r="M23" s="121"/>
    </row>
    <row r="24" spans="1:13" s="76" customFormat="1" ht="18.75" x14ac:dyDescent="0.3">
      <c r="B24" s="122"/>
      <c r="C24" s="123" t="s">
        <v>75</v>
      </c>
      <c r="D24" s="124"/>
      <c r="E24" s="125" t="str">
        <f>TTCHUNG!C14</f>
        <v/>
      </c>
      <c r="F24" s="124"/>
      <c r="G24" s="126"/>
      <c r="H24" s="213"/>
      <c r="I24" s="213"/>
      <c r="J24" s="213"/>
      <c r="K24" s="213"/>
      <c r="L24" s="213"/>
      <c r="M24" s="127"/>
    </row>
    <row r="25" spans="1:13" s="25" customFormat="1" ht="18.75" x14ac:dyDescent="0.3">
      <c r="B25" s="25" t="s">
        <v>198</v>
      </c>
      <c r="C25" s="51"/>
      <c r="D25" s="51"/>
      <c r="E25" s="40"/>
      <c r="F25" s="40"/>
      <c r="G25" s="40"/>
      <c r="H25" s="44"/>
      <c r="I25" s="44"/>
      <c r="J25" s="40"/>
      <c r="K25" s="40"/>
      <c r="L25" s="40"/>
      <c r="M25" s="40"/>
    </row>
    <row r="26" spans="1:13" s="25" customFormat="1" ht="18.75" x14ac:dyDescent="0.3">
      <c r="B26" s="25" t="s">
        <v>199</v>
      </c>
      <c r="C26" s="51"/>
      <c r="D26" s="51"/>
      <c r="E26" s="40"/>
      <c r="F26" s="40"/>
      <c r="G26" s="40"/>
      <c r="H26" s="44"/>
      <c r="I26" s="25" t="s">
        <v>200</v>
      </c>
      <c r="J26" s="40"/>
      <c r="K26" s="40"/>
      <c r="L26" s="40"/>
      <c r="M26" s="40"/>
    </row>
    <row r="27" spans="1:13" s="25" customFormat="1" ht="76.5" customHeight="1" x14ac:dyDescent="0.3">
      <c r="B27" s="202" t="s">
        <v>201</v>
      </c>
      <c r="C27" s="202"/>
      <c r="D27" s="202"/>
      <c r="E27" s="202"/>
      <c r="F27" s="202"/>
      <c r="G27" s="202"/>
      <c r="H27" s="202"/>
      <c r="I27" s="202"/>
      <c r="J27" s="202"/>
      <c r="K27" s="202"/>
      <c r="L27" s="202"/>
      <c r="M27" s="202"/>
    </row>
    <row r="28" spans="1:13" s="25" customFormat="1" ht="18.75" x14ac:dyDescent="0.3">
      <c r="C28" s="199" t="s">
        <v>202</v>
      </c>
      <c r="D28" s="199"/>
      <c r="E28" s="199"/>
      <c r="F28" s="199"/>
      <c r="G28" s="199"/>
      <c r="H28" s="199"/>
      <c r="I28" s="199"/>
      <c r="J28" s="199"/>
      <c r="K28" s="199"/>
      <c r="L28" s="199"/>
      <c r="M28" s="199"/>
    </row>
    <row r="29" spans="1:13" s="77" customFormat="1" ht="36.75" customHeight="1" x14ac:dyDescent="0.25">
      <c r="A29" s="203" t="s">
        <v>203</v>
      </c>
      <c r="B29" s="203"/>
      <c r="C29" s="203"/>
      <c r="D29" s="203"/>
      <c r="E29" s="203"/>
      <c r="F29" s="203"/>
      <c r="G29" s="203"/>
      <c r="H29" s="203"/>
      <c r="I29" s="204" t="s">
        <v>204</v>
      </c>
      <c r="J29" s="204"/>
      <c r="K29" s="204"/>
      <c r="L29" s="204"/>
      <c r="M29" s="204"/>
    </row>
    <row r="30" spans="1:13" s="55" customFormat="1" ht="18.75" x14ac:dyDescent="0.3">
      <c r="C30" s="25"/>
      <c r="D30" s="25"/>
    </row>
    <row r="31" spans="1:13" s="55" customFormat="1" ht="18.75" x14ac:dyDescent="0.3">
      <c r="C31" s="25"/>
      <c r="D31" s="25"/>
    </row>
    <row r="32" spans="1:13" ht="18.75" x14ac:dyDescent="0.25">
      <c r="C32" s="167"/>
      <c r="D32" s="167"/>
      <c r="E32" s="167"/>
      <c r="F32" s="167"/>
      <c r="G32" s="167"/>
      <c r="H32" s="167"/>
      <c r="I32" s="165"/>
      <c r="J32" s="165"/>
      <c r="K32" s="165"/>
      <c r="L32" s="165"/>
      <c r="M32" s="165"/>
    </row>
    <row r="33" spans="2:13" ht="18.75" x14ac:dyDescent="0.25">
      <c r="C33" s="156"/>
      <c r="D33" s="156"/>
      <c r="E33" s="156"/>
      <c r="F33" s="156"/>
      <c r="G33" s="156"/>
      <c r="H33" s="156"/>
      <c r="I33" s="155"/>
      <c r="J33" s="155"/>
      <c r="K33" s="155"/>
      <c r="L33" s="155"/>
      <c r="M33" s="155"/>
    </row>
    <row r="34" spans="2:13" ht="18" customHeight="1" x14ac:dyDescent="0.25">
      <c r="B34" s="165" t="str">
        <f>TTCHUNG!D25</f>
        <v>Trần Văn Dương</v>
      </c>
      <c r="C34" s="165"/>
      <c r="D34" s="165"/>
      <c r="E34" s="165"/>
      <c r="F34" s="165"/>
      <c r="G34" s="165"/>
      <c r="H34" s="165"/>
      <c r="I34" s="160"/>
      <c r="J34" s="160"/>
      <c r="K34" s="160"/>
      <c r="L34" s="160"/>
      <c r="M34" s="160"/>
    </row>
    <row r="35" spans="2:13" ht="16.5" customHeight="1" x14ac:dyDescent="0.25">
      <c r="B35" s="201" t="s">
        <v>205</v>
      </c>
      <c r="C35" s="201"/>
      <c r="D35" s="201"/>
      <c r="E35" s="201"/>
      <c r="F35" s="201"/>
      <c r="G35" s="201"/>
      <c r="I35" s="201" t="s">
        <v>206</v>
      </c>
      <c r="J35" s="201"/>
      <c r="K35" s="201"/>
      <c r="L35" s="201"/>
      <c r="M35" s="201"/>
    </row>
    <row r="36" spans="2:13" ht="30.75" customHeight="1" x14ac:dyDescent="0.25">
      <c r="B36" s="201"/>
      <c r="C36" s="201"/>
      <c r="D36" s="201"/>
      <c r="E36" s="201"/>
      <c r="F36" s="201"/>
      <c r="G36" s="201"/>
      <c r="I36" s="201"/>
      <c r="J36" s="201"/>
      <c r="K36" s="201"/>
      <c r="L36" s="201"/>
      <c r="M36" s="201"/>
    </row>
    <row r="37" spans="2:13" ht="18.75" x14ac:dyDescent="0.25">
      <c r="C37" s="24"/>
      <c r="D37" s="24"/>
      <c r="K37" s="28"/>
    </row>
    <row r="38" spans="2:13" ht="15.75" x14ac:dyDescent="0.25">
      <c r="K38" s="28"/>
    </row>
    <row r="39" spans="2:13" s="128" customFormat="1" x14ac:dyDescent="0.25"/>
    <row r="40" spans="2:13" s="56" customFormat="1" x14ac:dyDescent="0.25">
      <c r="B40" s="38"/>
      <c r="D40" s="38"/>
    </row>
    <row r="41" spans="2:13" x14ac:dyDescent="0.25">
      <c r="C41" s="29"/>
      <c r="D41" s="29"/>
    </row>
  </sheetData>
  <mergeCells count="25">
    <mergeCell ref="E13:M13"/>
    <mergeCell ref="C4:M4"/>
    <mergeCell ref="C5:M5"/>
    <mergeCell ref="C6:G6"/>
    <mergeCell ref="C7:M7"/>
    <mergeCell ref="B9:M9"/>
    <mergeCell ref="J15:M15"/>
    <mergeCell ref="C18:G18"/>
    <mergeCell ref="H18:I18"/>
    <mergeCell ref="J18:L18"/>
    <mergeCell ref="H19:I24"/>
    <mergeCell ref="J19:L24"/>
    <mergeCell ref="C20:G21"/>
    <mergeCell ref="M20:M21"/>
    <mergeCell ref="C22:G23"/>
    <mergeCell ref="I34:M34"/>
    <mergeCell ref="B35:G36"/>
    <mergeCell ref="I35:M36"/>
    <mergeCell ref="B27:M27"/>
    <mergeCell ref="C28:M28"/>
    <mergeCell ref="A29:H29"/>
    <mergeCell ref="I29:M29"/>
    <mergeCell ref="C32:H32"/>
    <mergeCell ref="I32:M32"/>
    <mergeCell ref="B34:H34"/>
  </mergeCells>
  <printOptions horizontalCentered="1" verticalCentered="1"/>
  <pageMargins left="0.6"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030A0"/>
  </sheetPr>
  <dimension ref="A1:Q38"/>
  <sheetViews>
    <sheetView view="pageBreakPreview" topLeftCell="A13" zoomScaleNormal="100" zoomScaleSheetLayoutView="100" workbookViewId="0">
      <selection activeCell="A41" sqref="A41:XFD71"/>
    </sheetView>
  </sheetViews>
  <sheetFormatPr defaultColWidth="9.140625" defaultRowHeight="18.75" x14ac:dyDescent="0.3"/>
  <cols>
    <col min="1" max="1" width="13.7109375" style="45" customWidth="1"/>
    <col min="2" max="2" width="2.140625" style="45" customWidth="1"/>
    <col min="3" max="3" width="3" style="45" customWidth="1"/>
    <col min="4" max="5" width="9.140625" style="45"/>
    <col min="6" max="6" width="12.42578125" style="45" customWidth="1"/>
    <col min="7" max="8" width="9.140625" style="45"/>
    <col min="9" max="9" width="2.85546875" style="45" customWidth="1"/>
    <col min="10" max="10" width="10.7109375" style="45" customWidth="1"/>
    <col min="11" max="11" width="9.140625" style="45"/>
    <col min="12" max="12" width="4" style="45" customWidth="1"/>
    <col min="13" max="17" width="9.140625" style="1"/>
    <col min="18" max="16384" width="9.140625" style="45"/>
  </cols>
  <sheetData>
    <row r="1" spans="1:17" ht="18.75" customHeight="1" x14ac:dyDescent="0.3">
      <c r="A1" s="183" t="s">
        <v>43</v>
      </c>
      <c r="B1" s="183"/>
      <c r="C1" s="183"/>
      <c r="D1" s="183"/>
      <c r="E1" s="183"/>
      <c r="F1" s="174" t="s">
        <v>17</v>
      </c>
      <c r="G1" s="174"/>
      <c r="H1" s="174"/>
      <c r="I1" s="174"/>
      <c r="J1" s="174"/>
      <c r="K1" s="174"/>
      <c r="L1" s="174"/>
    </row>
    <row r="2" spans="1:17" ht="18.75" customHeight="1" x14ac:dyDescent="0.3">
      <c r="A2" s="184" t="s">
        <v>44</v>
      </c>
      <c r="B2" s="184"/>
      <c r="C2" s="184"/>
      <c r="D2" s="184"/>
      <c r="E2" s="184"/>
      <c r="F2" s="174" t="s">
        <v>161</v>
      </c>
      <c r="G2" s="174"/>
      <c r="H2" s="174"/>
      <c r="I2" s="174"/>
      <c r="J2" s="174"/>
      <c r="K2" s="174"/>
      <c r="L2" s="174"/>
    </row>
    <row r="3" spans="1:17" x14ac:dyDescent="0.3">
      <c r="A3" s="92"/>
      <c r="B3" s="92"/>
      <c r="C3" s="92"/>
      <c r="D3" s="92"/>
      <c r="E3" s="92"/>
      <c r="F3" s="92"/>
      <c r="G3" s="92"/>
      <c r="H3" s="92"/>
      <c r="I3" s="92"/>
      <c r="J3" s="92"/>
      <c r="K3" s="92"/>
    </row>
    <row r="4" spans="1:17" ht="16.5" x14ac:dyDescent="0.25">
      <c r="M4" s="11"/>
      <c r="N4" s="11"/>
      <c r="O4" s="11"/>
      <c r="P4" s="11"/>
      <c r="Q4" s="11"/>
    </row>
    <row r="5" spans="1:17" x14ac:dyDescent="0.25">
      <c r="A5" s="233" t="s">
        <v>18</v>
      </c>
      <c r="B5" s="233"/>
      <c r="C5" s="233"/>
      <c r="D5" s="233"/>
      <c r="E5" s="233"/>
      <c r="F5" s="233"/>
      <c r="G5" s="233"/>
      <c r="H5" s="233"/>
      <c r="I5" s="233"/>
      <c r="J5" s="233"/>
      <c r="K5" s="233"/>
      <c r="M5" s="3"/>
      <c r="N5" s="3"/>
      <c r="O5" s="3"/>
      <c r="P5" s="3"/>
      <c r="Q5" s="3"/>
    </row>
    <row r="6" spans="1:17" ht="39" customHeight="1" x14ac:dyDescent="0.3">
      <c r="A6" s="234" t="s">
        <v>48</v>
      </c>
      <c r="B6" s="235"/>
      <c r="C6" s="235"/>
      <c r="D6" s="235"/>
      <c r="E6" s="235"/>
      <c r="F6" s="235"/>
      <c r="G6" s="235"/>
      <c r="H6" s="235"/>
      <c r="I6" s="235"/>
      <c r="J6" s="235"/>
      <c r="K6" s="235"/>
      <c r="M6" s="11"/>
      <c r="N6" s="11"/>
      <c r="O6" s="11"/>
      <c r="P6" s="11"/>
      <c r="Q6" s="11"/>
    </row>
    <row r="7" spans="1:17" ht="10.5" customHeight="1" x14ac:dyDescent="0.3">
      <c r="A7" s="92"/>
      <c r="B7" s="92"/>
      <c r="C7" s="92"/>
      <c r="D7" s="92"/>
      <c r="E7" s="92"/>
      <c r="F7" s="92"/>
      <c r="G7" s="92"/>
      <c r="H7" s="92"/>
      <c r="I7" s="92"/>
      <c r="J7" s="92"/>
      <c r="K7" s="92"/>
      <c r="M7" s="11"/>
      <c r="N7" s="11"/>
      <c r="O7" s="11"/>
      <c r="P7" s="11"/>
      <c r="Q7" s="11"/>
    </row>
    <row r="8" spans="1:17" ht="36" customHeight="1" x14ac:dyDescent="0.25">
      <c r="A8" s="231" t="str">
        <f>"     Hồi       giờ       phút, ngày "&amp;TTCHUNG!E21&amp;" tại Trại tạm giam - Công an tỉnh Quảng Ninh."</f>
        <v xml:space="preserve">     Hồi       giờ       phút, ngày  tại Trại tạm giam - Công an tỉnh Quảng Ninh.</v>
      </c>
      <c r="B8" s="231" t="s">
        <v>24</v>
      </c>
      <c r="C8" s="231"/>
      <c r="D8" s="231"/>
      <c r="E8" s="231"/>
      <c r="F8" s="231"/>
      <c r="G8" s="231"/>
      <c r="H8" s="231"/>
      <c r="I8" s="231"/>
      <c r="J8" s="231"/>
      <c r="K8" s="231"/>
      <c r="M8" s="11"/>
      <c r="N8" s="11"/>
      <c r="O8" s="11"/>
      <c r="P8" s="11"/>
      <c r="Q8" s="11"/>
    </row>
    <row r="9" spans="1:17" x14ac:dyDescent="0.3">
      <c r="A9" s="93" t="s">
        <v>26</v>
      </c>
      <c r="B9" s="91"/>
      <c r="C9" s="91"/>
      <c r="D9" s="91"/>
      <c r="E9" s="91"/>
      <c r="F9" s="91"/>
      <c r="G9" s="91"/>
      <c r="H9" s="91"/>
      <c r="I9" s="91"/>
      <c r="J9" s="91"/>
      <c r="K9" s="91"/>
      <c r="M9" s="11"/>
      <c r="N9" s="11"/>
      <c r="O9" s="11"/>
      <c r="P9" s="11"/>
      <c r="Q9" s="11"/>
    </row>
    <row r="10" spans="1:17" x14ac:dyDescent="0.3">
      <c r="A10" s="91" t="s">
        <v>27</v>
      </c>
      <c r="B10" s="93" t="s">
        <v>169</v>
      </c>
      <c r="C10" s="91"/>
      <c r="D10" s="91"/>
      <c r="E10" s="91"/>
      <c r="F10" s="94" t="s">
        <v>12</v>
      </c>
      <c r="G10" s="91" t="s">
        <v>14</v>
      </c>
      <c r="H10" s="91"/>
      <c r="I10" s="91"/>
      <c r="J10" s="91" t="s">
        <v>13</v>
      </c>
      <c r="K10" s="91" t="s">
        <v>15</v>
      </c>
      <c r="M10" s="11"/>
      <c r="N10" s="11"/>
      <c r="O10" s="11"/>
      <c r="P10" s="11"/>
      <c r="Q10" s="11"/>
    </row>
    <row r="11" spans="1:17" x14ac:dyDescent="0.3">
      <c r="A11" s="91" t="s">
        <v>42</v>
      </c>
      <c r="B11" s="91"/>
      <c r="C11" s="91"/>
      <c r="D11" s="147" t="s">
        <v>207</v>
      </c>
      <c r="E11" s="91"/>
      <c r="F11" s="91"/>
      <c r="G11" s="91"/>
      <c r="H11" s="91"/>
      <c r="I11" s="91"/>
      <c r="J11" s="91"/>
      <c r="K11" s="91"/>
      <c r="M11" s="11"/>
      <c r="N11" s="11"/>
      <c r="O11" s="11"/>
      <c r="P11" s="11"/>
      <c r="Q11" s="11"/>
    </row>
    <row r="12" spans="1:17" x14ac:dyDescent="0.3">
      <c r="A12" s="91" t="s">
        <v>28</v>
      </c>
      <c r="B12" s="93"/>
      <c r="C12" s="91"/>
      <c r="D12" s="148"/>
      <c r="E12" s="91"/>
      <c r="F12" s="94" t="s">
        <v>12</v>
      </c>
      <c r="G12" s="91"/>
      <c r="H12" s="91"/>
      <c r="I12" s="91"/>
      <c r="J12" s="91" t="s">
        <v>13</v>
      </c>
      <c r="K12" s="91"/>
      <c r="M12" s="11"/>
      <c r="N12" s="11"/>
      <c r="O12" s="11"/>
      <c r="P12" s="11"/>
      <c r="Q12" s="11"/>
    </row>
    <row r="13" spans="1:17" x14ac:dyDescent="0.3">
      <c r="A13" s="91" t="s">
        <v>42</v>
      </c>
      <c r="B13" s="91"/>
      <c r="C13" s="91"/>
      <c r="D13" s="147"/>
      <c r="E13" s="91"/>
      <c r="F13" s="91"/>
      <c r="G13" s="91"/>
      <c r="H13" s="91"/>
      <c r="I13" s="91"/>
      <c r="J13" s="91"/>
      <c r="K13" s="91"/>
      <c r="M13" s="11"/>
      <c r="N13" s="11"/>
      <c r="O13" s="11"/>
      <c r="P13" s="11"/>
      <c r="Q13" s="11"/>
    </row>
    <row r="14" spans="1:17" ht="9" customHeight="1" x14ac:dyDescent="0.3">
      <c r="A14" s="91"/>
      <c r="B14" s="91"/>
      <c r="C14" s="91"/>
      <c r="D14" s="91"/>
      <c r="E14" s="91"/>
      <c r="F14" s="91"/>
      <c r="G14" s="91"/>
      <c r="H14" s="91"/>
      <c r="I14" s="91"/>
      <c r="J14" s="91"/>
      <c r="K14" s="91"/>
      <c r="M14" s="11"/>
      <c r="N14" s="11"/>
      <c r="O14" s="11"/>
      <c r="P14" s="11"/>
      <c r="Q14" s="11"/>
    </row>
    <row r="15" spans="1:17" ht="72" customHeight="1" x14ac:dyDescent="0.25">
      <c r="A15" s="231" t="str">
        <f>"     Tiến hành lập biên bản tống đạt Quyết định thi hành án phạt tù số: "&amp;TTCHUNG!D19&amp;" ngày "&amp;TTCHUNG!E19 &amp;" của Toà án nhân dân "&amp;TTCHUNG!F19&amp;" (Trại tạm giam nhận ngày "&amp;TTCHUNG!E21&amp;" ) đối với người xử phạt tù đang bị tạm giam:"</f>
        <v xml:space="preserve">     Tiến hành lập biên bản tống đạt Quyết định thi hành án phạt tù số:  ngày  của Toà án nhân dân  (Trại tạm giam nhận ngày  ) đối với người xử phạt tù đang bị tạm giam:</v>
      </c>
      <c r="B15" s="231"/>
      <c r="C15" s="231"/>
      <c r="D15" s="231"/>
      <c r="E15" s="231"/>
      <c r="F15" s="231"/>
      <c r="G15" s="231"/>
      <c r="H15" s="231"/>
      <c r="I15" s="231"/>
      <c r="J15" s="231"/>
      <c r="K15" s="231"/>
      <c r="M15" s="11"/>
      <c r="N15" s="11"/>
      <c r="O15" s="11"/>
      <c r="P15" s="11"/>
      <c r="Q15" s="11"/>
    </row>
    <row r="16" spans="1:17" x14ac:dyDescent="0.3">
      <c r="A16" s="91" t="s">
        <v>20</v>
      </c>
      <c r="B16" s="95">
        <f>TTCHUNG!C7</f>
        <v>0</v>
      </c>
      <c r="C16" s="91"/>
      <c r="D16" s="91"/>
      <c r="E16" s="91"/>
      <c r="F16" s="94" t="s">
        <v>21</v>
      </c>
      <c r="G16" s="91">
        <f>TTCHUNG!E9</f>
        <v>0</v>
      </c>
      <c r="H16" s="91" t="s">
        <v>22</v>
      </c>
      <c r="I16" s="91"/>
      <c r="J16" s="91" t="str">
        <f>TTCHUNG!C9</f>
        <v/>
      </c>
      <c r="M16" s="11"/>
      <c r="N16" s="11"/>
      <c r="O16" s="11"/>
      <c r="P16" s="11"/>
      <c r="Q16" s="11"/>
    </row>
    <row r="17" spans="1:17" x14ac:dyDescent="0.3">
      <c r="A17" s="91" t="s">
        <v>5</v>
      </c>
      <c r="B17" s="91">
        <f>TTCHUNG!C11</f>
        <v>0</v>
      </c>
      <c r="D17" s="91"/>
      <c r="E17" s="91"/>
      <c r="F17" s="91"/>
      <c r="G17" s="91"/>
      <c r="H17" s="91"/>
      <c r="I17" s="91"/>
      <c r="J17" s="91"/>
      <c r="K17" s="91"/>
      <c r="M17" s="11"/>
      <c r="N17" s="11"/>
      <c r="O17" s="11"/>
      <c r="P17" s="11"/>
      <c r="Q17" s="11"/>
    </row>
    <row r="18" spans="1:17" ht="19.5" x14ac:dyDescent="0.25">
      <c r="A18" s="96" t="s">
        <v>45</v>
      </c>
      <c r="B18" s="230">
        <f>TTCHUNG!C13</f>
        <v>0</v>
      </c>
      <c r="C18" s="230"/>
      <c r="D18" s="230"/>
      <c r="E18" s="230"/>
      <c r="F18" s="230"/>
      <c r="G18" s="230"/>
      <c r="H18" s="230"/>
      <c r="I18" s="230"/>
      <c r="J18" s="230"/>
      <c r="K18" s="230"/>
      <c r="M18" s="11"/>
      <c r="N18" s="11"/>
      <c r="O18" s="11"/>
      <c r="P18" s="11"/>
      <c r="Q18" s="11"/>
    </row>
    <row r="19" spans="1:17" x14ac:dyDescent="0.3">
      <c r="A19" s="91" t="s">
        <v>25</v>
      </c>
      <c r="B19" s="91">
        <f>TTCHUNG!C16</f>
        <v>0</v>
      </c>
      <c r="C19" s="91"/>
      <c r="D19" s="91"/>
      <c r="E19" s="91"/>
      <c r="F19" s="94"/>
      <c r="G19" s="91"/>
      <c r="H19" s="91"/>
      <c r="I19" s="91"/>
      <c r="J19" s="91"/>
      <c r="K19" s="91"/>
      <c r="M19" s="11"/>
      <c r="N19" s="11"/>
      <c r="O19" s="11"/>
      <c r="P19" s="11"/>
      <c r="Q19" s="11"/>
    </row>
    <row r="20" spans="1:17" x14ac:dyDescent="0.3">
      <c r="A20" s="91" t="s">
        <v>212</v>
      </c>
      <c r="B20" s="91"/>
      <c r="D20" s="91"/>
      <c r="E20" s="91"/>
      <c r="F20" s="91"/>
      <c r="G20" s="91"/>
      <c r="H20" s="91"/>
      <c r="I20" s="91"/>
      <c r="J20" s="91"/>
      <c r="K20" s="91"/>
      <c r="M20" s="11"/>
      <c r="N20" s="11"/>
      <c r="O20" s="11"/>
      <c r="P20" s="11"/>
      <c r="Q20" s="11"/>
    </row>
    <row r="21" spans="1:17" ht="18.75" customHeight="1" x14ac:dyDescent="0.25">
      <c r="A21" s="97" t="str">
        <f>"Người bị kết án phạt tù là (họ và tên): "&amp;TTCHUNG!D7</f>
        <v xml:space="preserve">Người bị kết án phạt tù là (họ và tên): </v>
      </c>
      <c r="B21" s="98"/>
      <c r="C21" s="98"/>
      <c r="D21" s="98"/>
      <c r="E21" s="98"/>
      <c r="F21" s="146"/>
      <c r="G21" s="146"/>
      <c r="H21" s="98" t="s">
        <v>50</v>
      </c>
      <c r="I21" s="98"/>
      <c r="J21" s="98"/>
      <c r="K21" s="98"/>
      <c r="M21" s="11"/>
      <c r="N21" s="11"/>
      <c r="O21" s="11"/>
      <c r="P21" s="11"/>
      <c r="Q21" s="11"/>
    </row>
    <row r="22" spans="1:17" x14ac:dyDescent="0.3">
      <c r="A22" s="98" t="s">
        <v>146</v>
      </c>
      <c r="B22" s="98"/>
      <c r="C22" s="98"/>
      <c r="D22" s="98"/>
      <c r="E22" s="98"/>
      <c r="F22" s="98"/>
      <c r="G22" s="98"/>
      <c r="H22" s="98"/>
      <c r="I22" s="98"/>
      <c r="J22" s="98"/>
      <c r="K22" s="98"/>
    </row>
    <row r="23" spans="1:17" x14ac:dyDescent="0.3">
      <c r="A23" s="98" t="s">
        <v>46</v>
      </c>
      <c r="B23" s="98"/>
      <c r="C23" s="98"/>
      <c r="D23" s="98"/>
      <c r="E23" s="98"/>
      <c r="F23" s="98"/>
      <c r="G23" s="98"/>
      <c r="H23" s="98"/>
      <c r="I23" s="98"/>
      <c r="J23" s="98"/>
      <c r="K23" s="98"/>
    </row>
    <row r="24" spans="1:17" ht="36.75" customHeight="1" x14ac:dyDescent="0.25">
      <c r="A24" s="231" t="s">
        <v>154</v>
      </c>
      <c r="B24" s="231"/>
      <c r="C24" s="231"/>
      <c r="D24" s="231"/>
      <c r="E24" s="231"/>
      <c r="F24" s="231"/>
      <c r="G24" s="231"/>
      <c r="H24" s="231"/>
      <c r="I24" s="231"/>
      <c r="J24" s="231"/>
      <c r="K24" s="231"/>
      <c r="M24" s="11"/>
      <c r="N24" s="11"/>
      <c r="O24" s="11"/>
      <c r="P24" s="11"/>
      <c r="Q24" s="11"/>
    </row>
    <row r="25" spans="1:17" ht="18.75" customHeight="1" x14ac:dyDescent="0.25">
      <c r="A25" s="232" t="s">
        <v>49</v>
      </c>
      <c r="B25" s="231"/>
      <c r="C25" s="231"/>
      <c r="D25" s="231"/>
      <c r="E25" s="231"/>
      <c r="F25" s="231"/>
      <c r="G25" s="231"/>
      <c r="H25" s="231"/>
      <c r="I25" s="231"/>
      <c r="J25" s="231"/>
      <c r="K25" s="231"/>
      <c r="M25" s="11"/>
      <c r="N25" s="11"/>
      <c r="O25" s="11"/>
      <c r="P25" s="11"/>
      <c r="Q25" s="11"/>
    </row>
    <row r="26" spans="1:17" x14ac:dyDescent="0.25">
      <c r="A26" s="98"/>
      <c r="B26" s="98"/>
      <c r="C26" s="98"/>
      <c r="D26" s="98"/>
      <c r="E26" s="98"/>
      <c r="F26" s="98"/>
      <c r="G26" s="98"/>
      <c r="H26" s="98"/>
      <c r="I26" s="98"/>
      <c r="J26" s="98"/>
      <c r="K26" s="98"/>
      <c r="M26" s="11"/>
      <c r="N26" s="11"/>
      <c r="O26" s="11"/>
      <c r="P26" s="11"/>
      <c r="Q26" s="11"/>
    </row>
    <row r="27" spans="1:17" s="48" customFormat="1" ht="18.75" customHeight="1" x14ac:dyDescent="0.3">
      <c r="A27" s="229" t="s">
        <v>47</v>
      </c>
      <c r="B27" s="229"/>
      <c r="C27" s="229"/>
      <c r="D27" s="229"/>
      <c r="E27" s="229"/>
      <c r="F27" s="100"/>
      <c r="G27" s="229" t="s">
        <v>29</v>
      </c>
      <c r="H27" s="229"/>
      <c r="I27" s="229"/>
      <c r="J27" s="229"/>
      <c r="K27" s="229"/>
      <c r="M27" s="11"/>
      <c r="N27" s="11"/>
      <c r="O27" s="11"/>
      <c r="P27" s="11"/>
      <c r="Q27" s="11"/>
    </row>
    <row r="28" spans="1:17" ht="15" customHeight="1" x14ac:dyDescent="0.25">
      <c r="A28" s="228" t="s">
        <v>23</v>
      </c>
      <c r="B28" s="228"/>
      <c r="C28" s="228"/>
      <c r="D28" s="228"/>
      <c r="E28" s="228"/>
      <c r="F28" s="101"/>
      <c r="G28" s="228" t="s">
        <v>23</v>
      </c>
      <c r="H28" s="228"/>
      <c r="I28" s="228"/>
      <c r="J28" s="228"/>
      <c r="K28" s="228"/>
      <c r="M28" s="11"/>
      <c r="N28" s="11"/>
      <c r="O28" s="11"/>
      <c r="P28" s="11"/>
      <c r="Q28" s="11"/>
    </row>
    <row r="29" spans="1:17" x14ac:dyDescent="0.3">
      <c r="H29" s="102"/>
      <c r="I29" s="102"/>
    </row>
    <row r="30" spans="1:17" x14ac:dyDescent="0.3">
      <c r="H30" s="103"/>
      <c r="I30" s="103"/>
    </row>
    <row r="31" spans="1:17" x14ac:dyDescent="0.3">
      <c r="H31" s="103"/>
      <c r="I31" s="103"/>
    </row>
    <row r="32" spans="1:17" x14ac:dyDescent="0.3">
      <c r="H32" s="103"/>
      <c r="I32" s="103"/>
    </row>
    <row r="33" spans="1:11" x14ac:dyDescent="0.3">
      <c r="H33" s="104"/>
      <c r="I33" s="104"/>
    </row>
    <row r="34" spans="1:11" ht="18.75" customHeight="1" x14ac:dyDescent="0.3">
      <c r="E34" s="93"/>
      <c r="F34" s="93"/>
      <c r="G34" s="229" t="str">
        <f>B10</f>
        <v>Đặng Thị Thu Hằng</v>
      </c>
      <c r="H34" s="229"/>
      <c r="I34" s="229"/>
      <c r="J34" s="229"/>
      <c r="K34" s="229"/>
    </row>
    <row r="35" spans="1:11" x14ac:dyDescent="0.3">
      <c r="E35" s="93"/>
      <c r="F35" s="93"/>
      <c r="G35" s="99"/>
      <c r="H35" s="99"/>
      <c r="I35" s="99"/>
      <c r="J35" s="99"/>
      <c r="K35" s="99"/>
    </row>
    <row r="36" spans="1:11" x14ac:dyDescent="0.3">
      <c r="A36" s="46"/>
      <c r="B36" s="46"/>
      <c r="C36" s="46"/>
      <c r="D36" s="46"/>
      <c r="E36" s="47"/>
      <c r="F36" s="47"/>
      <c r="G36" s="49"/>
      <c r="H36" s="49"/>
      <c r="I36" s="49"/>
      <c r="J36" s="49"/>
      <c r="K36" s="49"/>
    </row>
    <row r="37" spans="1:11" x14ac:dyDescent="0.3">
      <c r="A37" s="50"/>
      <c r="B37" s="46"/>
      <c r="C37" s="46"/>
      <c r="D37" s="46"/>
      <c r="E37" s="46"/>
      <c r="F37" s="46"/>
      <c r="G37" s="46"/>
      <c r="H37" s="46"/>
      <c r="I37" s="46"/>
      <c r="J37" s="46"/>
      <c r="K37" s="46"/>
    </row>
    <row r="38" spans="1:11" x14ac:dyDescent="0.3">
      <c r="A38" s="46"/>
      <c r="B38" s="46"/>
      <c r="C38" s="46"/>
      <c r="D38" s="46"/>
      <c r="E38" s="46"/>
      <c r="F38" s="46"/>
      <c r="G38" s="227"/>
      <c r="H38" s="227"/>
      <c r="I38" s="227"/>
      <c r="J38" s="227"/>
      <c r="K38" s="227"/>
    </row>
  </sheetData>
  <mergeCells count="17">
    <mergeCell ref="A1:E1"/>
    <mergeCell ref="F1:L1"/>
    <mergeCell ref="B18:K18"/>
    <mergeCell ref="A27:E27"/>
    <mergeCell ref="G27:K27"/>
    <mergeCell ref="A24:K24"/>
    <mergeCell ref="A25:K25"/>
    <mergeCell ref="F2:L2"/>
    <mergeCell ref="A5:K5"/>
    <mergeCell ref="A6:K6"/>
    <mergeCell ref="A15:K15"/>
    <mergeCell ref="A8:K8"/>
    <mergeCell ref="A2:E2"/>
    <mergeCell ref="G38:K38"/>
    <mergeCell ref="A28:E28"/>
    <mergeCell ref="G28:K28"/>
    <mergeCell ref="G34:K34"/>
  </mergeCells>
  <printOptions horizontalCentered="1" verticalCentered="1"/>
  <pageMargins left="0.7" right="0.2" top="0.25" bottom="0.25" header="0.3" footer="0.3"/>
  <pageSetup paperSize="9" scale="9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B1.LAPHS-GS</vt:lpstr>
      <vt:lpstr>B1.LAPHS-GP</vt:lpstr>
      <vt:lpstr>TTCHUNG</vt:lpstr>
      <vt:lpstr>NX</vt:lpstr>
      <vt:lpstr>CĐ</vt:lpstr>
      <vt:lpstr>KTHS</vt:lpstr>
      <vt:lpstr>BGHS</vt:lpstr>
      <vt:lpstr>TONGDAT</vt:lpstr>
      <vt:lpstr>'B1.LAPHS-GP'!Print_Area</vt:lpstr>
      <vt:lpstr>'B1.LAPHS-GS'!Print_Area</vt:lpstr>
      <vt:lpstr>BGHS!Print_Area</vt:lpstr>
      <vt:lpstr>CĐ!Print_Area</vt:lpstr>
      <vt:lpstr>KTHS!Print_Area</vt:lpstr>
      <vt:lpstr>NX!Print_Area</vt:lpstr>
      <vt:lpstr>TONGDAT!Print_Area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2026-03-14T01:03:20Z</cp:lastPrinted>
  <dcterms:created xsi:type="dcterms:W3CDTF">2022-12-21T08:32:01Z</dcterms:created>
  <dcterms:modified xsi:type="dcterms:W3CDTF">2026-03-16T03:07:33Z</dcterms:modified>
</cp:coreProperties>
</file>